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 codeName="ЭтаКнига" defaultThemeVersion="124226"/>
  <xr:revisionPtr revIDLastSave="0" documentId="13_ncr:1_{878FE607-3B6F-4309-B6C3-A042321C30A0}" xr6:coauthVersionLast="47" xr6:coauthVersionMax="47" xr10:uidLastSave="{00000000-0000-0000-0000-000000000000}"/>
  <bookViews>
    <workbookView xWindow="-120" yWindow="-120" windowWidth="25440" windowHeight="15540" xr2:uid="{00000000-000D-0000-FFFF-FFFF00000000}"/>
  </bookViews>
  <sheets>
    <sheet name="МЕНЮ" sheetId="5" r:id="rId1"/>
    <sheet name="ОБЛАДНАННЯ" sheetId="4" r:id="rId2"/>
    <sheet name="КОМЕРЦІЙНА ПРОПОЗИЦІЯ" sheetId="3" r:id="rId3"/>
  </sheets>
  <definedNames>
    <definedName name="_xlnm._FilterDatabase" localSheetId="1" hidden="1">ОБЛАДНАННЯ!$A$2:$H$324</definedName>
  </definedNames>
  <calcPr calcId="181029"/>
</workbook>
</file>

<file path=xl/calcChain.xml><?xml version="1.0" encoding="utf-8"?>
<calcChain xmlns="http://schemas.openxmlformats.org/spreadsheetml/2006/main">
  <c r="B29" i="3" l="1"/>
  <c r="B18" i="3" l="1"/>
  <c r="F30" i="5"/>
  <c r="F14" i="5"/>
  <c r="F31" i="5"/>
  <c r="H6" i="5" l="1"/>
  <c r="H7" i="5"/>
  <c r="F7" i="5"/>
  <c r="F6" i="5"/>
  <c r="H9" i="5"/>
  <c r="F32" i="5"/>
  <c r="H5" i="5" l="1"/>
  <c r="H17" i="5" s="1"/>
  <c r="F5" i="5"/>
  <c r="F15" i="5" l="1"/>
  <c r="F9" i="5" l="1"/>
  <c r="F13" i="5" l="1"/>
  <c r="F12" i="5"/>
  <c r="F11" i="5"/>
  <c r="F17" i="5" s="1"/>
  <c r="F19" i="5" l="1"/>
  <c r="F21" i="5" s="1"/>
  <c r="G340" i="4"/>
  <c r="F28" i="5" l="1"/>
  <c r="H19" i="5"/>
  <c r="B15" i="3"/>
  <c r="G72" i="4"/>
  <c r="G347" i="4" l="1"/>
  <c r="G346" i="4"/>
  <c r="G345" i="4"/>
  <c r="G344" i="4"/>
  <c r="G343" i="4"/>
  <c r="G342" i="4"/>
  <c r="G341" i="4"/>
  <c r="G339" i="4"/>
  <c r="G338" i="4"/>
  <c r="G337" i="4"/>
  <c r="G336" i="4"/>
  <c r="G33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6" i="4"/>
  <c r="G155" i="4"/>
  <c r="G154" i="4"/>
  <c r="G153" i="4"/>
  <c r="G152" i="4"/>
  <c r="G151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0" i="4"/>
  <c r="G79" i="4"/>
  <c r="G78" i="4"/>
  <c r="G77" i="4"/>
  <c r="G76" i="4"/>
  <c r="G75" i="4"/>
  <c r="G74" i="4"/>
  <c r="G73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0" i="4"/>
  <c r="G49" i="4"/>
  <c r="G48" i="4"/>
  <c r="G47" i="4"/>
  <c r="G46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H3" i="4" l="1"/>
  <c r="H51" i="4"/>
  <c r="H250" i="4"/>
  <c r="H28" i="4"/>
  <c r="H193" i="4"/>
  <c r="H176" i="4"/>
  <c r="H274" i="4"/>
  <c r="H81" i="4"/>
  <c r="H44" i="4"/>
  <c r="H149" i="4"/>
  <c r="H112" i="4"/>
  <c r="H157" i="4"/>
  <c r="G349" i="4"/>
  <c r="G327" i="4" l="1"/>
  <c r="G329" i="4" l="1"/>
  <c r="G331" i="4" s="1"/>
  <c r="F29" i="5" l="1"/>
  <c r="F33" i="5" s="1"/>
  <c r="F37" i="5" s="1"/>
  <c r="F39" i="5" s="1"/>
  <c r="F35" i="5" s="1"/>
  <c r="B17" i="3"/>
  <c r="B27" i="3" s="1"/>
  <c r="B31" i="3" s="1"/>
  <c r="B33" i="3" s="1"/>
</calcChain>
</file>

<file path=xl/sharedStrings.xml><?xml version="1.0" encoding="utf-8"?>
<sst xmlns="http://schemas.openxmlformats.org/spreadsheetml/2006/main" count="523" uniqueCount="444">
  <si>
    <t>№</t>
  </si>
  <si>
    <t>Меню</t>
  </si>
  <si>
    <t>ФАРФОР</t>
  </si>
  <si>
    <t>ТЕКСТИЛЬ</t>
  </si>
  <si>
    <t>Креманка "Bell" </t>
  </si>
  <si>
    <t>Швабра</t>
  </si>
  <si>
    <t>170 мл</t>
  </si>
  <si>
    <t>22 см</t>
  </si>
  <si>
    <t>17 см</t>
  </si>
  <si>
    <t>20 см</t>
  </si>
  <si>
    <t>120 мл</t>
  </si>
  <si>
    <t>200 мл</t>
  </si>
  <si>
    <t>40 мл</t>
  </si>
  <si>
    <t>2 секции</t>
  </si>
  <si>
    <t>Бокс салатник</t>
  </si>
  <si>
    <t>250 мл</t>
  </si>
  <si>
    <t>Координатор:</t>
  </si>
  <si>
    <t>Тех. Персонал</t>
  </si>
  <si>
    <t>№ п/п</t>
  </si>
  <si>
    <t>Вихід на стіл, порція/вага, гр.</t>
  </si>
  <si>
    <t>Кіл-сть порцій</t>
  </si>
  <si>
    <t>Ціна, грн</t>
  </si>
  <si>
    <t>Сума, грн</t>
  </si>
  <si>
    <t>Всього:</t>
  </si>
  <si>
    <t>Обладнання та сервіс</t>
  </si>
  <si>
    <t>Сервіс - обслуговування, офіціанти, кухар, тех.персонал, адміністратор</t>
  </si>
  <si>
    <t>Транспорт з урахуванням доставки обладнання та персоналу</t>
  </si>
  <si>
    <t>КЕРАМОСКЛО</t>
  </si>
  <si>
    <t>ЕЛЕКТРООБЛАДНАННЯ</t>
  </si>
  <si>
    <t>Стакан паперовий</t>
  </si>
  <si>
    <t>Стакан склоподібний</t>
  </si>
  <si>
    <t>Пакет паперовий</t>
  </si>
  <si>
    <t>Об `єм</t>
  </si>
  <si>
    <t>Кількість</t>
  </si>
  <si>
    <t>Ціна</t>
  </si>
  <si>
    <t>Кількість на складі</t>
  </si>
  <si>
    <t>Вартість</t>
  </si>
  <si>
    <t>Ложка чайна квадрат</t>
  </si>
  <si>
    <t>Набір для торта (ніж та лопатка)</t>
  </si>
  <si>
    <t>Хлібниця із ротангу овальна</t>
  </si>
  <si>
    <t>Крюшівниця коньячка скло</t>
  </si>
  <si>
    <t>Диспенсер для напоїв, червоний 9л</t>
  </si>
  <si>
    <t>Кавомашина Vienna Digital</t>
  </si>
  <si>
    <t>Кавомашина Incanto De Luxe</t>
  </si>
  <si>
    <t>Мікрохвильова піч</t>
  </si>
  <si>
    <t>Совок та щітка для прибирання "Regina"</t>
  </si>
  <si>
    <t>Вогнегасник поршковий</t>
  </si>
  <si>
    <t>Решітка-гриль середня Forester</t>
  </si>
  <si>
    <t>Харчовий ящик, зовнішні 433х347х283, внутрішні 0х0х0, 32л, білий</t>
  </si>
  <si>
    <t>Харчовий ящик, зовнішні 600х400х190, внутрішні 590х390х180, 32л, білий</t>
  </si>
  <si>
    <t>Пластикова кришка 600х400, біла</t>
  </si>
  <si>
    <t>Пластиковий ящик, суцільний з кришкою, що не знімається 600х400х315, синій</t>
  </si>
  <si>
    <t>Назва проекту (привід)</t>
  </si>
  <si>
    <t>Замовник:</t>
  </si>
  <si>
    <t>Дата проведення:</t>
  </si>
  <si>
    <t>Місце проведення:</t>
  </si>
  <si>
    <t>Час:</t>
  </si>
  <si>
    <t>Кількість осіб:</t>
  </si>
  <si>
    <t>Оренда обладнання</t>
  </si>
  <si>
    <t>Транспортні витрати</t>
  </si>
  <si>
    <t>Сума до оплати</t>
  </si>
  <si>
    <t>Разом сума до оплати</t>
  </si>
  <si>
    <t>Менеджер обслуговування</t>
  </si>
  <si>
    <t>Обслуговування офіціантами</t>
  </si>
  <si>
    <t>Кухар для розкладання страв та обслуговування заходу</t>
  </si>
  <si>
    <t>Всього до сплати</t>
  </si>
  <si>
    <t>Посуд, текстиль, меблі, обладнання</t>
  </si>
  <si>
    <t>Вихід грам на особу</t>
  </si>
  <si>
    <t>грм/люд</t>
  </si>
  <si>
    <t>грн/люд</t>
  </si>
  <si>
    <t xml:space="preserve">Зверніть увагу:  </t>
  </si>
  <si>
    <t xml:space="preserve">У  файлі, що складається з трьох вкладок, </t>
  </si>
  <si>
    <t xml:space="preserve">я Вам запропонував меню, необхідне обладнання та </t>
  </si>
  <si>
    <t xml:space="preserve">обслуговування заходу! </t>
  </si>
  <si>
    <t xml:space="preserve"> </t>
  </si>
  <si>
    <t xml:space="preserve">Запропоноване меню можемо коригувати за </t>
  </si>
  <si>
    <t>асортиментом страв, кількості порцій та бюджету!!</t>
  </si>
  <si>
    <t xml:space="preserve">Умови бронювання заходу: </t>
  </si>
  <si>
    <t xml:space="preserve">1. </t>
  </si>
  <si>
    <t>Дата бронюється після передоплати за захід</t>
  </si>
  <si>
    <t>2.</t>
  </si>
  <si>
    <t xml:space="preserve">Передоплата сплачується в розмірі 50%, залишок сплачується в день заходу. </t>
  </si>
  <si>
    <t>3.</t>
  </si>
  <si>
    <t xml:space="preserve">Оплата можлива готівкою, переказ на карту або оплатою на рахунок ФОП 3-ї групи. </t>
  </si>
  <si>
    <t>4.</t>
  </si>
  <si>
    <t xml:space="preserve">Ми дбаємо про персонал та клієнтів, у разі тривоги чи атак, </t>
  </si>
  <si>
    <t xml:space="preserve">умови доставок та організації заходів може </t>
  </si>
  <si>
    <t xml:space="preserve">змінюватися! Деталі щодо зміни часу чи переносу </t>
  </si>
  <si>
    <t xml:space="preserve">вирішуватимемо індивідуально. </t>
  </si>
  <si>
    <t xml:space="preserve">Дякуємо за розуміння.                                      </t>
  </si>
  <si>
    <t>Разом до оплати:</t>
  </si>
  <si>
    <t>Найменування</t>
  </si>
  <si>
    <t>Ціна прокату за шт/грн.</t>
  </si>
  <si>
    <t>Ціна втрати шт/грн.</t>
  </si>
  <si>
    <t>Необхідна кількість</t>
  </si>
  <si>
    <t>СКЛО</t>
  </si>
  <si>
    <t>Келих для вина Black 350 мл Domino</t>
  </si>
  <si>
    <t>Келих для вина Black 250 мл Domino</t>
  </si>
  <si>
    <t>Келих для шампанського Фужер Black 170 мл Domino</t>
  </si>
  <si>
    <t>Келих для коньяку Black 410 мл Domino</t>
  </si>
  <si>
    <t>Чарка на ніжці Black 65 мл Domino</t>
  </si>
  <si>
    <t xml:space="preserve">Келих для вина 350 мл Signature </t>
  </si>
  <si>
    <t xml:space="preserve">Келих для вина 250 мл Signature </t>
  </si>
  <si>
    <t xml:space="preserve">Келих для шампанського Фужер 170 мл Signature </t>
  </si>
  <si>
    <t xml:space="preserve">Келих для коньяку 250 мл Signature </t>
  </si>
  <si>
    <t xml:space="preserve">Чарка на ніжці 65 мл Signature </t>
  </si>
  <si>
    <t xml:space="preserve">Стопка шот Бостон 60 мл </t>
  </si>
  <si>
    <t>Стопка "Ода" 50 мл</t>
  </si>
  <si>
    <t>Склянка низька 310 мл Vigne</t>
  </si>
  <si>
    <t xml:space="preserve">Склянка висока 330 мл French Brasserie </t>
  </si>
  <si>
    <t>Стакан "Ода" 250 мл</t>
  </si>
  <si>
    <t>Склянка хайбол граніт</t>
  </si>
  <si>
    <t>Склянка для води та соків гранована 250 мл</t>
  </si>
  <si>
    <t>Келих для пива та коктейлів 300 мл Fanny</t>
  </si>
  <si>
    <t>Кухоль для пива 500 мл Pub</t>
  </si>
  <si>
    <t>Глек для води та соків 1 л Frigo</t>
  </si>
  <si>
    <t xml:space="preserve">Глек для води та соків 1 л Bistro  </t>
  </si>
  <si>
    <t xml:space="preserve">Пляшка для води та соків з кришкою 1,1 л </t>
  </si>
  <si>
    <t>Графін для горілки та коньяку 0.5 л Арка</t>
  </si>
  <si>
    <t xml:space="preserve">Чашка чайна та блюдце 220 мл Wilmax </t>
  </si>
  <si>
    <t xml:space="preserve">Чашка кавова та блюдце 140 мл Wilmax </t>
  </si>
  <si>
    <t xml:space="preserve">Молочник 200 мл Wilmax </t>
  </si>
  <si>
    <t xml:space="preserve">Підставка для порційного цукру 9х6,5х4,5 см Wilmax </t>
  </si>
  <si>
    <t xml:space="preserve">Чайник заварювальний 700 мл Wilmax </t>
  </si>
  <si>
    <t xml:space="preserve">Цукорниця 540 мл Wilmax </t>
  </si>
  <si>
    <t xml:space="preserve">Набір сіль і перець  4 пр. Wilmax </t>
  </si>
  <si>
    <t xml:space="preserve">Підставка для серветок 11х8 cм Wilmax </t>
  </si>
  <si>
    <t xml:space="preserve">Тарілка пиріжкова квадратна 16,5 см Wilmax </t>
  </si>
  <si>
    <t xml:space="preserve">Тарілка обідня квадратна 25,5 см Wilmax </t>
  </si>
  <si>
    <t xml:space="preserve">Тарілка десертна кругла 18 см Wilmax </t>
  </si>
  <si>
    <t xml:space="preserve">Тарілка закусочна кругла 23 см Wilmax </t>
  </si>
  <si>
    <t xml:space="preserve">Тарілка обідня кругла 25,5 см Wilmax </t>
  </si>
  <si>
    <t xml:space="preserve">Бульйонниця 300 мл Wilmax </t>
  </si>
  <si>
    <t>Тарілка закусочна white 190 мм Carine</t>
  </si>
  <si>
    <t>Тарілка закусочна black 190 мм Carine</t>
  </si>
  <si>
    <t>Тарілка закусочна зелена 21 см Ipec</t>
  </si>
  <si>
    <t>Тарілка глибока зелена 24 см Ipec</t>
  </si>
  <si>
    <t>Супник зелений 16 см Ipec</t>
  </si>
  <si>
    <t>СТОЛОВІ ПРИЛАДИ</t>
  </si>
  <si>
    <t>Виделка закусочна Фуршетна</t>
  </si>
  <si>
    <t>Ніж закусочний Фуршетний</t>
  </si>
  <si>
    <t>Ложка чайна</t>
  </si>
  <si>
    <t>Виделка обідня</t>
  </si>
  <si>
    <t>Ніж обідній</t>
  </si>
  <si>
    <t>Ложка обідня</t>
  </si>
  <si>
    <t>Ложка кавова "крапинка"</t>
  </si>
  <si>
    <t>Ложка чайна "крапинка"</t>
  </si>
  <si>
    <t>Виделка закусочна "крапинка"</t>
  </si>
  <si>
    <t>Виделка обідня "крапинка"</t>
  </si>
  <si>
    <t>Ніж закусочний "крапинка"</t>
  </si>
  <si>
    <t>Ніж обідній "крапинка"</t>
  </si>
  <si>
    <t>Ложка обідня "крапинка"</t>
  </si>
  <si>
    <t>Ложка чайна Золото</t>
  </si>
  <si>
    <t>Виделка обідня Золото</t>
  </si>
  <si>
    <t>Ніж обідній Золото</t>
  </si>
  <si>
    <t>Набір для торта (ніж та лопатка) Золото</t>
  </si>
  <si>
    <t>Щипці для льоду та лимона</t>
  </si>
  <si>
    <t>Щипці для розкладки</t>
  </si>
  <si>
    <t>Ополовник 150 мл</t>
  </si>
  <si>
    <t>Ложка гарнірна</t>
  </si>
  <si>
    <t>Лопатка для подачі</t>
  </si>
  <si>
    <t>Ополовник нейлон для пуншу black</t>
  </si>
  <si>
    <t>Шумівка нейлон black</t>
  </si>
  <si>
    <t>Скатертина квадратна молочна ажур 220х220 cм</t>
  </si>
  <si>
    <t>Скатертина квадратна коричнева ажур 300х300 см</t>
  </si>
  <si>
    <t>Скатертина кругла смарагд D 330 см</t>
  </si>
  <si>
    <t>Скатертина кругла молочна матова D 330 см</t>
  </si>
  <si>
    <t>Скатертина кругла електрик матова D 330 см</t>
  </si>
  <si>
    <t>Скатертина овальна молочна ажур 310х215 см</t>
  </si>
  <si>
    <t>Скатертина овальна сіра</t>
  </si>
  <si>
    <t xml:space="preserve">Скатертина прямокутна молочна ажур 290х130 см </t>
  </si>
  <si>
    <t xml:space="preserve">Скатертина прямокутна молочна матова 170х130 см </t>
  </si>
  <si>
    <t>Скатертина прямокутна ромб</t>
  </si>
  <si>
    <t xml:space="preserve">Скатертина прямокутна клітина зелена 280х190 см </t>
  </si>
  <si>
    <t>Скатертина прямокутна в українському стилі червоний орнамент 145х240см</t>
  </si>
  <si>
    <t>Скатертина прямокутна в українському стилі блакитний орнамент 145х690см</t>
  </si>
  <si>
    <t>Наперон синій ажур</t>
  </si>
  <si>
    <t>Чохол для столу молочний стретч 90х180 см</t>
  </si>
  <si>
    <t>Чохол для столу чорний стретч 90х180 см</t>
  </si>
  <si>
    <t>Чохол для барного столу стретч (белый,черный)</t>
  </si>
  <si>
    <t>Серветка молочна ажур 40х40 см</t>
  </si>
  <si>
    <t>Серветка оливкова ажур 40х40 см</t>
  </si>
  <si>
    <t>Серветка коричнева ажур 40х40 см</t>
  </si>
  <si>
    <t>Серветка біла матова 40х40 см</t>
  </si>
  <si>
    <t>Серветка блакитна матова 40х40 см</t>
  </si>
  <si>
    <t>Серветка жовта матова 40х40 см</t>
  </si>
  <si>
    <t>Серветка молочна матова 45х45 см</t>
  </si>
  <si>
    <t>Серветка електрик матова 45х45 см</t>
  </si>
  <si>
    <t>Серветка смарагд 45х45 см</t>
  </si>
  <si>
    <t xml:space="preserve">Спідниця для обшивки столів молочна 12 м </t>
  </si>
  <si>
    <t>Плед вовняний у клітку 140х200 см</t>
  </si>
  <si>
    <t>Плед флісовий білий 140х200 см</t>
  </si>
  <si>
    <t>МЕБЛІ</t>
  </si>
  <si>
    <t>Стіл прямокутний 180Х90 см, h-71 см</t>
  </si>
  <si>
    <t>Стіл прямокутний 200Х90 см, h-71 см</t>
  </si>
  <si>
    <t>Стелаж пластиковий 180x82x37 см полка 5 шт Алеана</t>
  </si>
  <si>
    <t>Стелаж пластиковий 137x82x37 см полка 4 шт Алеана</t>
  </si>
  <si>
    <t>Стіл круглий d-90 см, h-71 см</t>
  </si>
  <si>
    <t>Стіл круглий d-135 см, h-71 см</t>
  </si>
  <si>
    <t>Стіл круглий d-180 см, h-71 см</t>
  </si>
  <si>
    <t>Стіл круглий СТЕЛС з розкладними ніжками d-180 см, h-75 см</t>
  </si>
  <si>
    <t>Коктельний стіл розкладний d-60 см, h-110 см</t>
  </si>
  <si>
    <t>Коктельний стіл розкладний на хромованій нозі d-60 см, h-110 см</t>
  </si>
  <si>
    <t>Стіл барний Лофт Круглий білий/чорний d-60 см, h-112 см</t>
  </si>
  <si>
    <t>Стіл барний Лофт Трапеція білий/чорний b-51 см, l-66 см, h-112 см</t>
  </si>
  <si>
    <t>Стіл барний LED конус круглий/квадратний d-70 см, h-120 см</t>
  </si>
  <si>
    <t>Стіл журнальний Лофт білий/чорний b-45 см, l-45 см, h-47 см</t>
  </si>
  <si>
    <t>Стіл садовий розкладний Меранті білий/коричневий 120х70 см,, h-75 см</t>
  </si>
  <si>
    <t>Стіл дерев'яний розкладний ОКТОБЕРФЕСТ 200Х50 см, h-70 см</t>
  </si>
  <si>
    <t>Лавка дерев'яна розкладна ОКТОБЕРФЕСТ 200Х25 см</t>
  </si>
  <si>
    <t>Стілець ISO h-80см, розмір сидіння 55Х43 см</t>
  </si>
  <si>
    <t>Стілець алюмінієвий розкладний h-80см, розмір сидіння 50Х45 см</t>
  </si>
  <si>
    <r>
      <t>Стілець дерев'яний розкладний білий/коричневий h-80 см, розмір сидіння</t>
    </r>
    <r>
      <rPr>
        <sz val="9"/>
        <rFont val="Arial Cyr"/>
        <charset val="204"/>
      </rPr>
      <t xml:space="preserve"> 50Х45 см</t>
    </r>
  </si>
  <si>
    <t>Подушка для стільця біла/чорна 50х45 см</t>
  </si>
  <si>
    <t>Стілець Бурже м'який синій/червоний h-90 см, розмір сидіння 50Х50 см</t>
  </si>
  <si>
    <t>Стілець Чиавари прозорий h-90 см, розмір сидіння 43Х40 см</t>
  </si>
  <si>
    <t xml:space="preserve">Стул Чиавари білий h-90 см, розмір сидіння 43Х40 см </t>
  </si>
  <si>
    <t xml:space="preserve">Стілець Наполеон золото h-92см, розмір сидіння 43Х40 см </t>
  </si>
  <si>
    <t>Стілець садовий розкладний Меранти h-85 см, розмір сидіння 50Х47 см</t>
  </si>
  <si>
    <t>Барна стійка LED пряма b-120 см, l-78 см, h-110 см</t>
  </si>
  <si>
    <t>Барна стійка LED напівкругла b-173 см, l-65 см, h-110 см</t>
  </si>
  <si>
    <t>Барна стійка LED Роллер Бар b-150 см, l-75 см, h-120 см</t>
  </si>
  <si>
    <t>Барна стійка LED Айс Бар b-94 см, l-48 см, h-86 см</t>
  </si>
  <si>
    <t>Барна стійка LED Снек Бар b-165 см, l-65 см, h-100 см</t>
  </si>
  <si>
    <t>Куб LED світиться з/без ніш b-42 см, l-42 см, h-42 см</t>
  </si>
  <si>
    <t>Крісло мішок різнокольорові</t>
  </si>
  <si>
    <t>Пуф безкаркасний різнокольоровий b-40 см, l-40 см, h-40 см</t>
  </si>
  <si>
    <t>Ширина класична дерев'яна - 3 стулки h-185 см, довжина у розкладеному вигляді 120 см</t>
  </si>
  <si>
    <t>НАМЕТИ, ПАРАСОЛІ, ШАТРИ</t>
  </si>
  <si>
    <t>Тентова конструкція 4х8 м</t>
  </si>
  <si>
    <t>Парасолька бічна синя d-270-300 см, h-250 см</t>
  </si>
  <si>
    <t>Парасолька біла d-290 см</t>
  </si>
  <si>
    <t>Намет білий/чорний 3х3 м</t>
  </si>
  <si>
    <t>Намет білий/чорний 4х4 м</t>
  </si>
  <si>
    <t>Намет білий/чорний 3х6 м</t>
  </si>
  <si>
    <t xml:space="preserve">Кавомашина </t>
  </si>
  <si>
    <t xml:space="preserve">Термопот 4,5 л </t>
  </si>
  <si>
    <t>Термопот 10 л</t>
  </si>
  <si>
    <t>Термопот 15 л</t>
  </si>
  <si>
    <t>Духова шафа</t>
  </si>
  <si>
    <t>Індукційна плита двокомфорка DKI 3386</t>
  </si>
  <si>
    <t>Індукційна плита</t>
  </si>
  <si>
    <t>Електросупниця 9 л</t>
  </si>
  <si>
    <t>Підлоговий вентилятор-циркулятор Neo</t>
  </si>
  <si>
    <t xml:space="preserve">Мобільний кондиціонер </t>
  </si>
  <si>
    <t>Тепловентилятор Ballu BKN-3</t>
  </si>
  <si>
    <t>Підлоговий обігрівач UFO</t>
  </si>
  <si>
    <t>Подовжувач 5 м</t>
  </si>
  <si>
    <t>Подовжувач 15 м</t>
  </si>
  <si>
    <t>БАРБЕКЮ</t>
  </si>
  <si>
    <t xml:space="preserve">Шампур з дерев'яною ручкою 55 см Forester  </t>
  </si>
  <si>
    <t>Решітка-гриль об'ємна велика Forester</t>
  </si>
  <si>
    <t>Котел алюмінієвий 5 л Биол</t>
  </si>
  <si>
    <t>Котел алюмінієвий татарський 22 л Биол</t>
  </si>
  <si>
    <t>Котел чавуний 100 л Ситон</t>
  </si>
  <si>
    <t>Мангал-сковорода садж із підставкою</t>
  </si>
  <si>
    <t>Мангал сімейний У Дачі</t>
  </si>
  <si>
    <t>Мангал великий</t>
  </si>
  <si>
    <t>Щипці великі</t>
  </si>
  <si>
    <t>Ополовник 500 мл Bergoff</t>
  </si>
  <si>
    <t>Мішалка дерев'яна</t>
  </si>
  <si>
    <t>Топор</t>
  </si>
  <si>
    <t>Лопата</t>
  </si>
  <si>
    <t>Підставка під казан (кільце)</t>
  </si>
  <si>
    <t>ПОСУД  ДЛЯ ПОДАЧІ СТРАВ</t>
  </si>
  <si>
    <t>Тарілка квадратна під квадратний сланець 25 см Alt Porcelain</t>
  </si>
  <si>
    <t>Сланець квадрат 17х17 см</t>
  </si>
  <si>
    <t>Тарілка квадратна під квадратний сланець 30,5 см Alt Porcelain</t>
  </si>
  <si>
    <t>Сланець квадрат 19,5х19,5 см</t>
  </si>
  <si>
    <t>Тарілка прямокутна біла з чорними краями Alt Porcelain</t>
  </si>
  <si>
    <t>Тарілка прямокутна чорна матова 36х15,5 см Alt Porcelain</t>
  </si>
  <si>
    <t>Тарілка квадратна 30х30 см Wilmax</t>
  </si>
  <si>
    <t>Тарілка прямокутне 30х16 см Wilmax</t>
  </si>
  <si>
    <t>Тарілка квадратна сіре 26х26 см Tokyo Ipec</t>
  </si>
  <si>
    <t>Тарілка квадратна чорне 26х26 см Tokyo Ipec</t>
  </si>
  <si>
    <t>Тарілка квадратна сіре 18х18 см Tokyo Ipec</t>
  </si>
  <si>
    <t>Тарілка квадратна чорне 18х18 см Tokyo Ipec</t>
  </si>
  <si>
    <t>Тарілка квадратна біла 18х18 см Tokyo Ipec</t>
  </si>
  <si>
    <t>Тарілка квадратна глубока сіра 13х13см Tokyo Ipec</t>
  </si>
  <si>
    <t>Тарілка квадратна глубока чорна 13х13см Tokyo Ipec</t>
  </si>
  <si>
    <t>Тарілка квадратна глубока біла 13х13см Tokyo Ipec</t>
  </si>
  <si>
    <t xml:space="preserve">Тарілка овальна чорна кераміка 51см </t>
  </si>
  <si>
    <t>Тарілка сіра 25 см Dark Up</t>
  </si>
  <si>
    <t>Тарілка сіра з темними краями 25 см Excellent Houseware</t>
  </si>
  <si>
    <t>Тарілка із синім орнаментом 25 см</t>
  </si>
  <si>
    <t>Тарілка із орнаментом Vintage 27,5 см Bella Vita</t>
  </si>
  <si>
    <t>Салатник із орнаментом Vintage 20 см Bella Vita</t>
  </si>
  <si>
    <t>Тарілка червона 27 см Bella Vita</t>
  </si>
  <si>
    <t>Піала червона 18 см  Bella Vita</t>
  </si>
  <si>
    <t>Салатник black 120 мм Carine</t>
  </si>
  <si>
    <t>Набір трьох скляних креманок на дошці</t>
  </si>
  <si>
    <t>Соусник 35 мл D 7,5см Wilmax</t>
  </si>
  <si>
    <t>Стопка фігурна для подачі "Ода" 50 мл</t>
  </si>
  <si>
    <t>Салатник скло 30,5 см SULTANA</t>
  </si>
  <si>
    <t xml:space="preserve">Лимонниця Basic </t>
  </si>
  <si>
    <t>Диспенсер овальний із лози</t>
  </si>
  <si>
    <t>Хлібниця прямокутна з ротангу</t>
  </si>
  <si>
    <t>Бутель у лозі (заплетений до половини) 1 л з пробкою</t>
  </si>
  <si>
    <t>Бутель у лозі (заплетений до половини) 3 л з пробкою</t>
  </si>
  <si>
    <t>Бутель у лозі (заплетений повністю) 1 л з пробкою</t>
  </si>
  <si>
    <t>Бутель у лозі (заплетений повністю) 3 л з пробкою</t>
  </si>
  <si>
    <t>Кошик із лози прямокутний 30х25 см, h 8 см</t>
  </si>
  <si>
    <t>Термочайник 1,5 л Professional</t>
  </si>
  <si>
    <t>Термочайник 3 л Professional</t>
  </si>
  <si>
    <t>Диспенсер для напоїв (лимонадник) 5 л Апельсин</t>
  </si>
  <si>
    <t>Диспенсер для напоїв,бузковий 18л</t>
  </si>
  <si>
    <t>Відерце для льоду Empire</t>
  </si>
  <si>
    <t>Відро для шампанського, льоду Empire</t>
  </si>
  <si>
    <t>Відерце для льоду скло ПУ 870 мл Sylvana</t>
  </si>
  <si>
    <t>Чафіндіш Марміт Forest</t>
  </si>
  <si>
    <t xml:space="preserve">Марміт керамічний зі скляною кришкою та металевою підставкою 1.4 л </t>
  </si>
  <si>
    <t xml:space="preserve">Марміт керамічний зі скляною кришкою та металевою підставкою 2.4 л </t>
  </si>
  <si>
    <t>Марміт керамічний зі скляною кришкою та металевою підставкою 3 л</t>
  </si>
  <si>
    <t xml:space="preserve">Попільничка 10,7 см Bistro </t>
  </si>
  <si>
    <t>Попільничка Black 10,7 см Bistro</t>
  </si>
  <si>
    <t>СКЛО, ДЗЕРКАЛА, СЛАНЕЦЬ</t>
  </si>
  <si>
    <t>Сланець квадрат 25х25 см</t>
  </si>
  <si>
    <t>Сланець круг d 25 см</t>
  </si>
  <si>
    <t>Сланець прямокутний 20х30 см</t>
  </si>
  <si>
    <t>Сланець прямокутний 30х40 см</t>
  </si>
  <si>
    <t>Дзеркало "Графіт" 5 мм,5х5 см</t>
  </si>
  <si>
    <t>Дзеркало "Бронза" 5мм,5х5 см</t>
  </si>
  <si>
    <t>Скло матове с лого 5мм,15х40 см</t>
  </si>
  <si>
    <t>Дзеркало "Графіт" 5мм,15х40 см</t>
  </si>
  <si>
    <t>Дзеркало "Графіт" 6мм,15х40 см</t>
  </si>
  <si>
    <t>Дзеркало  "Бронза" 5мм,15х40 см</t>
  </si>
  <si>
    <t>Скло "Бронза" 6мм,15х40 см</t>
  </si>
  <si>
    <t>Дзеркало  "Бронза" 5мм,20х30 см</t>
  </si>
  <si>
    <t>Скло "Бронза" 6мм,20х30 см</t>
  </si>
  <si>
    <t>Дзеркало "Графіт" 5мм,20х40 см</t>
  </si>
  <si>
    <t>Дзеркало "Графіт" 6мм,20х40 см</t>
  </si>
  <si>
    <t>Дзеркало "Бронза" 5мм,20х40 см</t>
  </si>
  <si>
    <t>Скло "Бронза" 6мм,20х40 см</t>
  </si>
  <si>
    <t>Дзеркало "Графіт" 5мм,30х30 см</t>
  </si>
  <si>
    <t>Дзеркало "Графіт" 6мм,30х30 см</t>
  </si>
  <si>
    <t>Дзеркало "Бронза" 5мм,30х30 см</t>
  </si>
  <si>
    <t>Скло "Бронза" 6мм,30х30 см</t>
  </si>
  <si>
    <t>Скло матове 5мм,35х55 см</t>
  </si>
  <si>
    <t>ІНВЕНТАР ДЛЯ ЗБЕРІГАННЯ І ТРАНСПОРТУВАННЯ</t>
  </si>
  <si>
    <t>Сміттєві баки 60 л Curver</t>
  </si>
  <si>
    <t>Сміттєві баки 50 л Tontarelli Арианна</t>
  </si>
  <si>
    <t>Сміттєві баки 30 л Tontarelli Арианна</t>
  </si>
  <si>
    <t>Відро сіре серцеподібне 10 л Алеана</t>
  </si>
  <si>
    <t>Урна-попільничка,нержавіюча сталь</t>
  </si>
  <si>
    <t xml:space="preserve">Відро для зливу блакитне 10 л "Bingo" </t>
  </si>
  <si>
    <t>Відро для зливу рожеве 10 л "Bingo"</t>
  </si>
  <si>
    <t>Відро для зливу салатове 10 л "Bingo"</t>
  </si>
  <si>
    <t>Бочка харчова із синьою кришкою 25 л ТМ "Г"</t>
  </si>
  <si>
    <t>Бочка харчова із зеленою кришкою 50 л Лемира</t>
  </si>
  <si>
    <t>Ізотермічний контейнер блакитний 24 л Adriatic</t>
  </si>
  <si>
    <t xml:space="preserve">Термоконтейнер для транспортування других страв Hendi 707999 </t>
  </si>
  <si>
    <t xml:space="preserve">Термоконтейнери для інших страв з боковим відкриттям 53-83 л Avaplastik 601 </t>
  </si>
  <si>
    <t>Гастроємність GN 1/1 полікорбонат</t>
  </si>
  <si>
    <t>Обробна дошка чорна (для фотозйомки)</t>
  </si>
  <si>
    <t>Обробна дошка дерев'яна (для фотозйомки)</t>
  </si>
  <si>
    <t xml:space="preserve">Харчовий ящик, зовнішні 600х400х300, внутрішні 590х390х290, 55л, білий </t>
  </si>
  <si>
    <t xml:space="preserve">Харчовий ящик литий, зовнішні 600х400х300, внутрішні 590х390х290, 55 л, білий </t>
  </si>
  <si>
    <t>Ящик чорний, зовнішні 433х347х283, 32 л, чорний (для намету)</t>
  </si>
  <si>
    <t>Пластиковий ящик синій, суцільний з кришкою, що не знімається 600х400х265 (для намету)</t>
  </si>
  <si>
    <t>Пластиковий ящик сірий суцільний з кришкою, що не знімається, сірий 600х400х435 (для намету)</t>
  </si>
  <si>
    <t>Візок для перевезення ящиків на колесах, 453x363х120</t>
  </si>
  <si>
    <t>Візок двоколісний ручний, синій</t>
  </si>
  <si>
    <t>Контейнер харчовий № BIG BOX 80 л Ал-Пластик</t>
  </si>
  <si>
    <t>Контейнер харчовий № BIG BOX 50 л Ал-Пластик</t>
  </si>
  <si>
    <t>Контейнер харчовий №01 BIG BOX 30 л Ал-Пластик</t>
  </si>
  <si>
    <t>Контейнер харчовий №09 LUX 23 л Ал-Пластик</t>
  </si>
  <si>
    <t>Контейнер харчовий №08 LUX 17 л Ал-Пластик</t>
  </si>
  <si>
    <t>Контейнер харчовий №06 ELIT 12,5 л Ал-Пластик</t>
  </si>
  <si>
    <t>Контейнер харчовий №07 LUX 9,5 л Ал-Пластик</t>
  </si>
  <si>
    <r>
      <t xml:space="preserve">Контейнер харчовий </t>
    </r>
    <r>
      <rPr>
        <sz val="11"/>
        <color theme="1"/>
        <rFont val="Calibri"/>
        <family val="2"/>
        <charset val="204"/>
        <scheme val="minor"/>
      </rPr>
      <t>№05</t>
    </r>
    <r>
      <rPr>
        <sz val="11"/>
        <color theme="1"/>
        <rFont val="Calibri"/>
        <family val="2"/>
        <scheme val="minor"/>
      </rPr>
      <t xml:space="preserve"> ELIT 7 л Ал-Пластик</t>
    </r>
  </si>
  <si>
    <t>Контейнер харчовий №06 LUX 5 л Ал-Пластик</t>
  </si>
  <si>
    <r>
      <t xml:space="preserve">Контейнер харчовий </t>
    </r>
    <r>
      <rPr>
        <sz val="11"/>
        <color theme="1"/>
        <rFont val="Calibri"/>
        <family val="2"/>
        <charset val="204"/>
        <scheme val="minor"/>
      </rPr>
      <t>№04</t>
    </r>
    <r>
      <rPr>
        <sz val="11"/>
        <color theme="1"/>
        <rFont val="Calibri"/>
        <family val="2"/>
        <scheme val="minor"/>
      </rPr>
      <t xml:space="preserve"> ELIT 4 л Ал-Пластик</t>
    </r>
  </si>
  <si>
    <r>
      <t xml:space="preserve">Контейнер харчовий </t>
    </r>
    <r>
      <rPr>
        <sz val="11"/>
        <color theme="1"/>
        <rFont val="Calibri"/>
        <family val="2"/>
        <charset val="204"/>
        <scheme val="minor"/>
      </rPr>
      <t>№03</t>
    </r>
    <r>
      <rPr>
        <sz val="11"/>
        <color theme="1"/>
        <rFont val="Calibri"/>
        <family val="2"/>
        <scheme val="minor"/>
      </rPr>
      <t xml:space="preserve"> ELIT 3 л Ал-Пластик</t>
    </r>
  </si>
  <si>
    <t>Контейнер харчовий №04 PREMIUM 2,5 л Ал-Пластик</t>
  </si>
  <si>
    <t>Контейнер харчовий №02 ELIT 2,2 л Ал-Пластик</t>
  </si>
  <si>
    <t>Контейнер харчовий №04 LUX 1,5 л Ал-Пластик</t>
  </si>
  <si>
    <t>Контейнер харчовий №03 LUX 1,2 л Ал-Пластик</t>
  </si>
  <si>
    <t>Контейнер харчовий №01 MINILUX 0,3 л Ал-Пластик</t>
  </si>
  <si>
    <t>Контейнер "Smart Box" 40 л сірі клямки, Алеана</t>
  </si>
  <si>
    <t>Разом:</t>
  </si>
  <si>
    <t>Одноразовая посуда</t>
  </si>
  <si>
    <t>Упаковка шт.</t>
  </si>
  <si>
    <t>Тарілки паперові 20шт</t>
  </si>
  <si>
    <t>Стакан пластик</t>
  </si>
  <si>
    <t>Тарілки пластик</t>
  </si>
  <si>
    <t>Виделки пластик</t>
  </si>
  <si>
    <t>Ножі пластик</t>
  </si>
  <si>
    <t>Ложки пластик</t>
  </si>
  <si>
    <t>Рюмка склоподібна 40</t>
  </si>
  <si>
    <t>Ланч-бокс полістирол 125шт</t>
  </si>
  <si>
    <t>(093) 423-22-90;                                                                     (050) 423-22-90;                                                     (096) 423-22-90</t>
  </si>
  <si>
    <t>телефон:</t>
  </si>
  <si>
    <t>email:</t>
  </si>
  <si>
    <t>Координатор тел.:</t>
  </si>
  <si>
    <t>Кухня</t>
  </si>
  <si>
    <t>Всього на персону:</t>
  </si>
  <si>
    <t>Маленька каструлька для запікання з різнобарвною кришкою</t>
  </si>
  <si>
    <t>Таця для офіціанта d 35см</t>
  </si>
  <si>
    <t>Таця для офіціанта d 40см</t>
  </si>
  <si>
    <t>Ложка обідня Золото</t>
  </si>
  <si>
    <t>Транспортні витрати (для доставки обладнання та персоналу)</t>
  </si>
  <si>
    <t>5.</t>
  </si>
  <si>
    <t>У разі продовження заходу на 1 годину оплата буде становити 5% від загальної суми заходу</t>
  </si>
  <si>
    <t>Ложка десертна</t>
  </si>
  <si>
    <t>Обслуговування</t>
  </si>
  <si>
    <t>Передоплата повертається у розмірі 30% при повідомленні про відміну заходу за 5 днів до броньованої дати</t>
  </si>
  <si>
    <t>Передоплата не повертається при повідомленні про відміну заходу за 3 дні до броньованої дати</t>
  </si>
  <si>
    <t>6.</t>
  </si>
  <si>
    <t>Десерти</t>
  </si>
  <si>
    <t>Напої</t>
  </si>
  <si>
    <t>До оплати через ФОП 3-я категорія (+6%)</t>
  </si>
  <si>
    <t xml:space="preserve">Разом до оплати: </t>
  </si>
  <si>
    <t>45</t>
  </si>
  <si>
    <t>Холодні закуск</t>
  </si>
  <si>
    <t>Кава натуральна з вершками</t>
  </si>
  <si>
    <t>50 - 150</t>
  </si>
  <si>
    <t>Чай пакетований в асортименті</t>
  </si>
  <si>
    <t>Лимон</t>
  </si>
  <si>
    <t>Еклери зі згущеним молоком</t>
  </si>
  <si>
    <t>Салатник 160 мл Vasics</t>
  </si>
  <si>
    <t xml:space="preserve">                          Розкрути свою ідею                                                                     dzyga-catering.com.ua   
catering.dzyga@gmail.com                                                                                        </t>
  </si>
  <si>
    <t>VODA ua негазована</t>
  </si>
  <si>
    <t>Брускета з іспанським хамоном та грушою</t>
  </si>
  <si>
    <t xml:space="preserve">Кейтеринг </t>
  </si>
  <si>
    <t>Меню із розрахунку на 40 осіб</t>
  </si>
  <si>
    <t xml:space="preserve">Кава-брейк </t>
  </si>
  <si>
    <t>Роман</t>
  </si>
  <si>
    <t>068 423 22 90</t>
  </si>
  <si>
    <t xml:space="preserve">050 575 29 52   </t>
  </si>
  <si>
    <t xml:space="preserve">Аркадій </t>
  </si>
  <si>
    <t>Знижка 10%:</t>
  </si>
  <si>
    <t>Разом до сплати:</t>
  </si>
  <si>
    <t>Знижка 35%:</t>
  </si>
  <si>
    <t>Валован з шампіньйонами та вершковим сиром</t>
  </si>
  <si>
    <t>35</t>
  </si>
  <si>
    <t>Кіш-лорен з куркою та грибами у тарталетці</t>
  </si>
  <si>
    <t xml:space="preserve">2 офіціанти </t>
  </si>
  <si>
    <t>2 тех.персонала</t>
  </si>
  <si>
    <t>VODA ua газована</t>
  </si>
  <si>
    <t>вул. Вишгородська 21</t>
  </si>
  <si>
    <t>Коктейльні столи 5шт</t>
  </si>
  <si>
    <t>Коктейльні столи</t>
  </si>
  <si>
    <t>Кава-брейк  10:40 - 11:15</t>
  </si>
  <si>
    <t>10:40 - 11:15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</si>
</sst>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;[Red]0.00"/>
    <numFmt numFmtId="165" formatCode="0.00_ ;[Red]\-0.00\ "/>
    <numFmt numFmtId="166" formatCode="#,##0.00;[Red]#,##0.00"/>
    <numFmt numFmtId="167" formatCode="#,##0.00_р_."/>
    <numFmt numFmtId="168" formatCode="#,##0.00\ [$грн.-422]"/>
    <numFmt numFmtId="169" formatCode="#,##0.00\ &quot;₴&quot;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b/>
      <i/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b/>
      <sz val="12"/>
      <color indexed="63"/>
      <name val="Calibri"/>
      <family val="2"/>
      <charset val="204"/>
    </font>
    <font>
      <b/>
      <sz val="11"/>
      <color indexed="63"/>
      <name val="Calibri"/>
      <family val="2"/>
      <charset val="204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04"/>
    </font>
    <font>
      <b/>
      <sz val="10"/>
      <name val="Calibri"/>
      <family val="2"/>
      <charset val="204"/>
    </font>
    <font>
      <sz val="14"/>
      <name val="Calibri"/>
      <family val="2"/>
      <charset val="204"/>
    </font>
    <font>
      <b/>
      <i/>
      <sz val="14"/>
      <name val="Calibri"/>
      <family val="2"/>
      <charset val="204"/>
    </font>
    <font>
      <b/>
      <sz val="12"/>
      <name val="Times New Roman"/>
      <family val="1"/>
      <charset val="204"/>
    </font>
    <font>
      <b/>
      <i/>
      <sz val="12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name val="Arial Cyr"/>
      <charset val="204"/>
    </font>
    <font>
      <b/>
      <i/>
      <sz val="12"/>
      <color indexed="17"/>
      <name val="Book Antiqua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0"/>
      <color rgb="FFFF0000"/>
      <name val="Arial Cyr"/>
      <charset val="204"/>
    </font>
    <font>
      <sz val="11"/>
      <color rgb="FFFF0000"/>
      <name val="Calibri"/>
      <family val="2"/>
      <scheme val="minor"/>
    </font>
    <font>
      <sz val="11"/>
      <color rgb="FFECECEC"/>
      <name val="Calibri"/>
      <family val="2"/>
      <scheme val="minor"/>
    </font>
    <font>
      <b/>
      <sz val="12"/>
      <color rgb="FFFFFF5D"/>
      <name val="Arial Cyr"/>
      <charset val="204"/>
    </font>
    <font>
      <b/>
      <i/>
      <sz val="18"/>
      <color rgb="FF03CD6D"/>
      <name val="Arial Cyr"/>
      <charset val="204"/>
    </font>
    <font>
      <b/>
      <sz val="12"/>
      <color rgb="FF02D886"/>
      <name val="Arial Cyr"/>
      <charset val="204"/>
    </font>
    <font>
      <sz val="10"/>
      <color rgb="FFC00000"/>
      <name val="Arial Cyr"/>
      <charset val="204"/>
    </font>
    <font>
      <b/>
      <sz val="10"/>
      <color rgb="FFFFFF5D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3"/>
      <name val="Book Antiqua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i/>
      <sz val="18"/>
      <color theme="0"/>
      <name val="Arial Cyr"/>
      <charset val="204"/>
    </font>
    <font>
      <b/>
      <sz val="11"/>
      <color theme="1"/>
      <name val="Calibri"/>
      <family val="2"/>
      <scheme val="minor"/>
    </font>
    <font>
      <sz val="10"/>
      <name val="Verdana"/>
      <family val="2"/>
      <charset val="204"/>
    </font>
    <font>
      <sz val="12"/>
      <name val="Verdana"/>
      <family val="2"/>
      <charset val="204"/>
    </font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0"/>
      <color rgb="FF00B0F0"/>
      <name val="Arial Cyr"/>
      <charset val="204"/>
    </font>
    <font>
      <sz val="9"/>
      <name val="Arial Cyr"/>
      <charset val="204"/>
    </font>
    <font>
      <sz val="10"/>
      <color rgb="FF0070C0"/>
      <name val="Arial Cyr"/>
      <charset val="204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81E2"/>
      <name val="Arial Cyr"/>
      <charset val="204"/>
    </font>
    <font>
      <b/>
      <sz val="11"/>
      <color rgb="FFFF0000"/>
      <name val="Calibri"/>
      <family val="2"/>
      <charset val="204"/>
    </font>
    <font>
      <b/>
      <i/>
      <sz val="20"/>
      <color rgb="FF000000"/>
      <name val="Tahoma"/>
      <family val="2"/>
      <charset val="204"/>
    </font>
    <font>
      <i/>
      <sz val="14"/>
      <color rgb="FFFF0000"/>
      <name val="Calibri"/>
      <family val="2"/>
      <charset val="204"/>
      <scheme val="minor"/>
    </font>
    <font>
      <i/>
      <sz val="14"/>
      <color rgb="FFFF0000"/>
      <name val="Times New Roman"/>
      <family val="1"/>
      <charset val="204"/>
    </font>
    <font>
      <b/>
      <sz val="12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sz val="11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b/>
      <i/>
      <sz val="10"/>
      <color indexed="8"/>
      <name val="Tahoma"/>
      <family val="2"/>
      <charset val="204"/>
    </font>
    <font>
      <b/>
      <i/>
      <sz val="10"/>
      <color rgb="FF000000"/>
      <name val="Tahoma"/>
      <family val="2"/>
    </font>
    <font>
      <b/>
      <i/>
      <sz val="16"/>
      <color rgb="FF03CD6D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2D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3CD6D"/>
        <bgColor indexed="64"/>
      </patternFill>
    </fill>
    <fill>
      <patternFill patternType="solid">
        <fgColor rgb="FF00FE73"/>
        <bgColor indexed="64"/>
      </patternFill>
    </fill>
    <fill>
      <patternFill patternType="solid">
        <fgColor rgb="FF00FE73"/>
        <bgColor rgb="FF00FE73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0" fillId="0" borderId="0"/>
    <xf numFmtId="0" fontId="14" fillId="0" borderId="0" applyNumberFormat="0" applyFill="0" applyBorder="0" applyAlignment="0" applyProtection="0"/>
    <xf numFmtId="0" fontId="40" fillId="0" borderId="0"/>
    <xf numFmtId="0" fontId="7" fillId="0" borderId="0"/>
    <xf numFmtId="0" fontId="7" fillId="0" borderId="0"/>
  </cellStyleXfs>
  <cellXfs count="230">
    <xf numFmtId="0" fontId="0" fillId="0" borderId="0" xfId="0"/>
    <xf numFmtId="0" fontId="0" fillId="0" borderId="0" xfId="0" applyAlignment="1">
      <alignment horizontal="left" vertical="justify"/>
    </xf>
    <xf numFmtId="0" fontId="0" fillId="0" borderId="0" xfId="0" applyAlignment="1">
      <alignment horizontal="center" vertical="justify"/>
    </xf>
    <xf numFmtId="0" fontId="7" fillId="0" borderId="1" xfId="0" applyFont="1" applyBorder="1" applyAlignment="1">
      <alignment horizontal="left" vertical="justify"/>
    </xf>
    <xf numFmtId="0" fontId="7" fillId="0" borderId="1" xfId="0" applyFont="1" applyBorder="1" applyAlignment="1">
      <alignment horizontal="center" vertical="justify"/>
    </xf>
    <xf numFmtId="164" fontId="7" fillId="0" borderId="1" xfId="0" applyNumberFormat="1" applyFont="1" applyBorder="1" applyAlignment="1">
      <alignment horizontal="center" vertical="justify"/>
    </xf>
    <xf numFmtId="165" fontId="7" fillId="0" borderId="2" xfId="0" applyNumberFormat="1" applyFont="1" applyBorder="1" applyAlignment="1">
      <alignment horizontal="center" vertical="justify"/>
    </xf>
    <xf numFmtId="2" fontId="7" fillId="0" borderId="2" xfId="0" applyNumberFormat="1" applyFont="1" applyBorder="1" applyAlignment="1">
      <alignment horizontal="center" vertical="justify"/>
    </xf>
    <xf numFmtId="0" fontId="7" fillId="0" borderId="1" xfId="0" applyFont="1" applyBorder="1" applyAlignment="1">
      <alignment horizontal="center" vertical="justify" wrapText="1"/>
    </xf>
    <xf numFmtId="164" fontId="7" fillId="0" borderId="2" xfId="0" applyNumberFormat="1" applyFont="1" applyBorder="1" applyAlignment="1">
      <alignment horizontal="center" vertical="justify"/>
    </xf>
    <xf numFmtId="166" fontId="7" fillId="0" borderId="2" xfId="0" applyNumberFormat="1" applyFont="1" applyBorder="1" applyAlignment="1">
      <alignment horizontal="center" vertical="justify"/>
    </xf>
    <xf numFmtId="167" fontId="7" fillId="0" borderId="2" xfId="0" applyNumberFormat="1" applyFont="1" applyBorder="1" applyAlignment="1">
      <alignment horizontal="center" vertical="justify"/>
    </xf>
    <xf numFmtId="167" fontId="7" fillId="0" borderId="1" xfId="0" applyNumberFormat="1" applyFont="1" applyBorder="1" applyAlignment="1">
      <alignment horizontal="center" vertical="justify"/>
    </xf>
    <xf numFmtId="164" fontId="7" fillId="0" borderId="3" xfId="0" applyNumberFormat="1" applyFont="1" applyBorder="1" applyAlignment="1">
      <alignment horizontal="center" vertical="justify"/>
    </xf>
    <xf numFmtId="0" fontId="0" fillId="0" borderId="0" xfId="0" applyAlignment="1">
      <alignment horizontal="right" vertical="justify"/>
    </xf>
    <xf numFmtId="164" fontId="0" fillId="0" borderId="0" xfId="0" applyNumberFormat="1" applyAlignment="1">
      <alignment horizontal="center" vertical="justify"/>
    </xf>
    <xf numFmtId="0" fontId="9" fillId="0" borderId="0" xfId="0" applyFont="1" applyAlignment="1">
      <alignment horizontal="center" vertical="justify"/>
    </xf>
    <xf numFmtId="164" fontId="9" fillId="0" borderId="0" xfId="0" applyNumberFormat="1" applyFont="1" applyAlignment="1">
      <alignment horizontal="center" vertical="justify"/>
    </xf>
    <xf numFmtId="0" fontId="11" fillId="2" borderId="0" xfId="1" applyFont="1" applyFill="1"/>
    <xf numFmtId="3" fontId="16" fillId="2" borderId="1" xfId="1" applyNumberFormat="1" applyFont="1" applyFill="1" applyBorder="1" applyAlignment="1">
      <alignment horizontal="right"/>
    </xf>
    <xf numFmtId="0" fontId="11" fillId="0" borderId="0" xfId="1" applyFont="1"/>
    <xf numFmtId="0" fontId="10" fillId="0" borderId="0" xfId="1"/>
    <xf numFmtId="3" fontId="18" fillId="2" borderId="1" xfId="1" applyNumberFormat="1" applyFont="1" applyFill="1" applyBorder="1" applyAlignment="1">
      <alignment horizontal="center" wrapText="1"/>
    </xf>
    <xf numFmtId="0" fontId="19" fillId="0" borderId="0" xfId="1" applyFont="1" applyAlignment="1">
      <alignment horizontal="left" wrapText="1"/>
    </xf>
    <xf numFmtId="3" fontId="20" fillId="2" borderId="1" xfId="1" applyNumberFormat="1" applyFont="1" applyFill="1" applyBorder="1" applyAlignment="1">
      <alignment horizontal="center" wrapText="1"/>
    </xf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left" vertical="justify"/>
    </xf>
    <xf numFmtId="0" fontId="24" fillId="0" borderId="0" xfId="0" applyFont="1" applyAlignment="1">
      <alignment horizontal="center" vertical="justify"/>
    </xf>
    <xf numFmtId="164" fontId="24" fillId="0" borderId="0" xfId="0" applyNumberFormat="1" applyFont="1" applyAlignment="1">
      <alignment horizontal="center" vertical="justify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168" fontId="0" fillId="0" borderId="1" xfId="0" applyNumberFormat="1" applyBorder="1"/>
    <xf numFmtId="0" fontId="8" fillId="0" borderId="0" xfId="0" applyFont="1" applyAlignment="1">
      <alignment horizontal="right"/>
    </xf>
    <xf numFmtId="168" fontId="8" fillId="0" borderId="0" xfId="0" applyNumberFormat="1" applyFont="1"/>
    <xf numFmtId="168" fontId="25" fillId="0" borderId="0" xfId="0" applyNumberFormat="1" applyFont="1"/>
    <xf numFmtId="0" fontId="16" fillId="3" borderId="1" xfId="1" applyFont="1" applyFill="1" applyBorder="1" applyAlignment="1">
      <alignment horizontal="center"/>
    </xf>
    <xf numFmtId="0" fontId="27" fillId="0" borderId="0" xfId="0" applyFont="1" applyAlignment="1">
      <alignment horizontal="left" vertical="justify"/>
    </xf>
    <xf numFmtId="164" fontId="0" fillId="0" borderId="0" xfId="0" applyNumberFormat="1" applyAlignment="1">
      <alignment horizontal="left" vertical="justify"/>
    </xf>
    <xf numFmtId="0" fontId="28" fillId="3" borderId="10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justify"/>
    </xf>
    <xf numFmtId="0" fontId="7" fillId="0" borderId="5" xfId="0" applyFont="1" applyBorder="1" applyAlignment="1">
      <alignment horizontal="left" vertical="justify"/>
    </xf>
    <xf numFmtId="0" fontId="7" fillId="0" borderId="5" xfId="0" applyFont="1" applyBorder="1" applyAlignment="1">
      <alignment horizontal="center" vertical="justify"/>
    </xf>
    <xf numFmtId="164" fontId="7" fillId="0" borderId="5" xfId="0" applyNumberFormat="1" applyFont="1" applyBorder="1" applyAlignment="1">
      <alignment horizontal="center" vertical="justify"/>
    </xf>
    <xf numFmtId="2" fontId="7" fillId="0" borderId="6" xfId="0" applyNumberFormat="1" applyFont="1" applyBorder="1" applyAlignment="1">
      <alignment horizontal="center" vertical="justify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justify"/>
    </xf>
    <xf numFmtId="0" fontId="32" fillId="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justify"/>
    </xf>
    <xf numFmtId="0" fontId="0" fillId="0" borderId="1" xfId="0" applyBorder="1" applyAlignment="1">
      <alignment horizontal="center" vertical="justify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2" fillId="5" borderId="9" xfId="0" applyFont="1" applyFill="1" applyBorder="1"/>
    <xf numFmtId="0" fontId="36" fillId="5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vertical="center" wrapText="1"/>
    </xf>
    <xf numFmtId="0" fontId="6" fillId="0" borderId="0" xfId="0" applyFont="1"/>
    <xf numFmtId="0" fontId="35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8" fontId="6" fillId="0" borderId="1" xfId="0" applyNumberFormat="1" applyFont="1" applyBorder="1"/>
    <xf numFmtId="0" fontId="35" fillId="0" borderId="1" xfId="0" applyFont="1" applyBorder="1"/>
    <xf numFmtId="49" fontId="35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168" fontId="33" fillId="0" borderId="1" xfId="0" applyNumberFormat="1" applyFont="1" applyBorder="1"/>
    <xf numFmtId="0" fontId="22" fillId="0" borderId="0" xfId="0" applyFont="1" applyAlignment="1">
      <alignment horizontal="right"/>
    </xf>
    <xf numFmtId="168" fontId="0" fillId="0" borderId="1" xfId="0" applyNumberFormat="1" applyBorder="1" applyAlignment="1">
      <alignment horizontal="right"/>
    </xf>
    <xf numFmtId="168" fontId="25" fillId="0" borderId="0" xfId="0" applyNumberFormat="1" applyFont="1" applyAlignment="1">
      <alignment horizontal="right"/>
    </xf>
    <xf numFmtId="0" fontId="23" fillId="5" borderId="10" xfId="0" applyFont="1" applyFill="1" applyBorder="1" applyAlignment="1">
      <alignment horizontal="right" vertical="center" wrapText="1"/>
    </xf>
    <xf numFmtId="168" fontId="6" fillId="0" borderId="1" xfId="0" applyNumberFormat="1" applyFont="1" applyBorder="1" applyAlignment="1">
      <alignment horizontal="right"/>
    </xf>
    <xf numFmtId="168" fontId="35" fillId="0" borderId="1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7" fillId="0" borderId="0" xfId="0" applyFont="1" applyAlignment="1">
      <alignment horizontal="right"/>
    </xf>
    <xf numFmtId="16" fontId="16" fillId="3" borderId="1" xfId="1" applyNumberFormat="1" applyFont="1" applyFill="1" applyBorder="1" applyAlignment="1">
      <alignment horizontal="center"/>
    </xf>
    <xf numFmtId="0" fontId="38" fillId="0" borderId="0" xfId="0" applyFont="1"/>
    <xf numFmtId="0" fontId="5" fillId="0" borderId="1" xfId="0" applyFont="1" applyBorder="1"/>
    <xf numFmtId="0" fontId="39" fillId="0" borderId="0" xfId="0" applyFont="1"/>
    <xf numFmtId="2" fontId="8" fillId="0" borderId="1" xfId="0" applyNumberFormat="1" applyFont="1" applyBorder="1"/>
    <xf numFmtId="0" fontId="0" fillId="0" borderId="4" xfId="0" applyBorder="1"/>
    <xf numFmtId="2" fontId="8" fillId="0" borderId="0" xfId="0" applyNumberFormat="1" applyFont="1"/>
    <xf numFmtId="0" fontId="0" fillId="0" borderId="16" xfId="0" applyBorder="1"/>
    <xf numFmtId="0" fontId="41" fillId="0" borderId="17" xfId="0" applyFont="1" applyBorder="1" applyAlignment="1">
      <alignment horizontal="center" vertical="center"/>
    </xf>
    <xf numFmtId="0" fontId="10" fillId="0" borderId="17" xfId="1" applyBorder="1"/>
    <xf numFmtId="0" fontId="10" fillId="0" borderId="18" xfId="1" applyBorder="1"/>
    <xf numFmtId="0" fontId="0" fillId="0" borderId="23" xfId="0" applyBorder="1"/>
    <xf numFmtId="0" fontId="41" fillId="0" borderId="0" xfId="0" applyFont="1" applyAlignment="1">
      <alignment horizontal="center" vertical="center"/>
    </xf>
    <xf numFmtId="0" fontId="10" fillId="0" borderId="24" xfId="1" applyBorder="1"/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0" fillId="0" borderId="25" xfId="0" applyBorder="1"/>
    <xf numFmtId="0" fontId="10" fillId="0" borderId="19" xfId="1" applyBorder="1"/>
    <xf numFmtId="0" fontId="42" fillId="0" borderId="19" xfId="0" applyFont="1" applyBorder="1" applyAlignment="1">
      <alignment horizontal="center" vertical="center"/>
    </xf>
    <xf numFmtId="0" fontId="10" fillId="0" borderId="26" xfId="1" applyBorder="1"/>
    <xf numFmtId="0" fontId="28" fillId="3" borderId="9" xfId="0" applyFont="1" applyFill="1" applyBorder="1" applyAlignment="1">
      <alignment horizontal="center" vertical="center"/>
    </xf>
    <xf numFmtId="0" fontId="22" fillId="0" borderId="9" xfId="0" applyFont="1" applyBorder="1"/>
    <xf numFmtId="0" fontId="7" fillId="4" borderId="1" xfId="0" applyFont="1" applyFill="1" applyBorder="1" applyAlignment="1">
      <alignment horizontal="center" vertical="justify"/>
    </xf>
    <xf numFmtId="0" fontId="43" fillId="4" borderId="1" xfId="0" applyFont="1" applyFill="1" applyBorder="1" applyAlignment="1">
      <alignment horizontal="center" vertical="justify"/>
    </xf>
    <xf numFmtId="0" fontId="43" fillId="0" borderId="1" xfId="0" applyFont="1" applyBorder="1" applyAlignment="1">
      <alignment horizontal="center" vertical="justify"/>
    </xf>
    <xf numFmtId="0" fontId="7" fillId="4" borderId="1" xfId="0" applyFont="1" applyFill="1" applyBorder="1" applyAlignment="1">
      <alignment horizontal="left" vertical="justify"/>
    </xf>
    <xf numFmtId="164" fontId="7" fillId="4" borderId="1" xfId="0" applyNumberFormat="1" applyFont="1" applyFill="1" applyBorder="1" applyAlignment="1">
      <alignment horizontal="center" vertical="justify"/>
    </xf>
    <xf numFmtId="166" fontId="7" fillId="4" borderId="2" xfId="0" applyNumberFormat="1" applyFont="1" applyFill="1" applyBorder="1" applyAlignment="1">
      <alignment horizontal="center" vertical="justify"/>
    </xf>
    <xf numFmtId="0" fontId="7" fillId="4" borderId="8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justify"/>
    </xf>
    <xf numFmtId="0" fontId="7" fillId="4" borderId="1" xfId="0" applyFont="1" applyFill="1" applyBorder="1" applyAlignment="1">
      <alignment horizontal="left" vertical="justify" wrapText="1"/>
    </xf>
    <xf numFmtId="0" fontId="45" fillId="0" borderId="1" xfId="0" applyFont="1" applyBorder="1" applyAlignment="1">
      <alignment horizontal="center" vertical="justify"/>
    </xf>
    <xf numFmtId="0" fontId="0" fillId="4" borderId="27" xfId="0" applyFill="1" applyBorder="1"/>
    <xf numFmtId="0" fontId="0" fillId="4" borderId="2" xfId="0" applyFill="1" applyBorder="1"/>
    <xf numFmtId="0" fontId="45" fillId="0" borderId="8" xfId="0" applyFont="1" applyBorder="1" applyAlignment="1">
      <alignment horizontal="center" vertical="justify"/>
    </xf>
    <xf numFmtId="164" fontId="7" fillId="0" borderId="8" xfId="0" applyNumberFormat="1" applyFont="1" applyBorder="1" applyAlignment="1">
      <alignment horizontal="center" vertical="justify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justify"/>
    </xf>
    <xf numFmtId="166" fontId="7" fillId="0" borderId="1" xfId="0" applyNumberFormat="1" applyFont="1" applyBorder="1" applyAlignment="1">
      <alignment horizontal="center" vertical="justify"/>
    </xf>
    <xf numFmtId="0" fontId="45" fillId="0" borderId="5" xfId="0" applyFont="1" applyBorder="1" applyAlignment="1">
      <alignment horizontal="center" vertical="justify"/>
    </xf>
    <xf numFmtId="0" fontId="46" fillId="4" borderId="1" xfId="0" applyFont="1" applyFill="1" applyBorder="1" applyAlignment="1">
      <alignment horizontal="center"/>
    </xf>
    <xf numFmtId="0" fontId="33" fillId="4" borderId="14" xfId="0" applyFont="1" applyFill="1" applyBorder="1" applyAlignment="1">
      <alignment horizontal="center" vertical="justify"/>
    </xf>
    <xf numFmtId="0" fontId="7" fillId="0" borderId="13" xfId="0" applyFont="1" applyBorder="1" applyAlignment="1">
      <alignment horizontal="center" vertical="justify"/>
    </xf>
    <xf numFmtId="0" fontId="8" fillId="4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left" vertical="justify"/>
    </xf>
    <xf numFmtId="0" fontId="0" fillId="0" borderId="29" xfId="0" applyBorder="1" applyAlignment="1">
      <alignment horizontal="center" vertical="justify"/>
    </xf>
    <xf numFmtId="49" fontId="7" fillId="0" borderId="29" xfId="0" applyNumberFormat="1" applyFont="1" applyBorder="1" applyAlignment="1">
      <alignment horizontal="center" vertical="justify"/>
    </xf>
    <xf numFmtId="164" fontId="0" fillId="0" borderId="30" xfId="0" applyNumberFormat="1" applyBorder="1" applyAlignment="1">
      <alignment horizontal="center" vertical="justify"/>
    </xf>
    <xf numFmtId="0" fontId="0" fillId="0" borderId="30" xfId="0" applyBorder="1" applyAlignment="1">
      <alignment horizontal="center" vertical="justify"/>
    </xf>
    <xf numFmtId="0" fontId="0" fillId="0" borderId="31" xfId="0" applyBorder="1" applyAlignment="1">
      <alignment horizontal="left" vertical="justify"/>
    </xf>
    <xf numFmtId="49" fontId="7" fillId="0" borderId="1" xfId="0" applyNumberFormat="1" applyFont="1" applyBorder="1" applyAlignment="1">
      <alignment horizontal="center" vertical="justify"/>
    </xf>
    <xf numFmtId="164" fontId="0" fillId="0" borderId="32" xfId="0" applyNumberFormat="1" applyBorder="1" applyAlignment="1">
      <alignment horizontal="center" vertical="justify"/>
    </xf>
    <xf numFmtId="0" fontId="0" fillId="0" borderId="32" xfId="0" applyBorder="1" applyAlignment="1">
      <alignment horizontal="center" vertical="justify"/>
    </xf>
    <xf numFmtId="49" fontId="0" fillId="0" borderId="1" xfId="0" applyNumberFormat="1" applyBorder="1" applyAlignment="1">
      <alignment horizontal="center" vertical="justify"/>
    </xf>
    <xf numFmtId="0" fontId="0" fillId="0" borderId="33" xfId="0" applyBorder="1" applyAlignment="1">
      <alignment horizontal="left" vertical="justify"/>
    </xf>
    <xf numFmtId="0" fontId="7" fillId="0" borderId="34" xfId="0" applyFont="1" applyBorder="1" applyAlignment="1">
      <alignment horizontal="center" vertical="justify"/>
    </xf>
    <xf numFmtId="49" fontId="7" fillId="0" borderId="34" xfId="0" applyNumberFormat="1" applyFont="1" applyBorder="1" applyAlignment="1">
      <alignment horizontal="center" vertical="justify"/>
    </xf>
    <xf numFmtId="164" fontId="0" fillId="0" borderId="35" xfId="0" applyNumberFormat="1" applyBorder="1" applyAlignment="1">
      <alignment horizontal="center" vertical="justify"/>
    </xf>
    <xf numFmtId="0" fontId="0" fillId="0" borderId="34" xfId="0" applyBorder="1" applyAlignment="1">
      <alignment horizontal="center" vertical="justify"/>
    </xf>
    <xf numFmtId="0" fontId="0" fillId="0" borderId="35" xfId="0" applyBorder="1" applyAlignment="1">
      <alignment horizontal="center" vertical="justify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4" fontId="47" fillId="0" borderId="0" xfId="0" applyNumberFormat="1" applyFont="1" applyAlignment="1">
      <alignment horizontal="left" vertical="justify"/>
    </xf>
    <xf numFmtId="0" fontId="7" fillId="0" borderId="31" xfId="0" applyFont="1" applyBorder="1" applyAlignment="1">
      <alignment horizontal="right" vertical="justify"/>
    </xf>
    <xf numFmtId="164" fontId="7" fillId="0" borderId="32" xfId="0" applyNumberFormat="1" applyFont="1" applyBorder="1" applyAlignment="1">
      <alignment horizontal="center" vertical="justify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right" vertical="justify"/>
    </xf>
    <xf numFmtId="164" fontId="7" fillId="4" borderId="32" xfId="0" applyNumberFormat="1" applyFont="1" applyFill="1" applyBorder="1" applyAlignment="1">
      <alignment horizontal="center" vertical="justify"/>
    </xf>
    <xf numFmtId="0" fontId="22" fillId="0" borderId="10" xfId="0" applyFont="1" applyBorder="1"/>
    <xf numFmtId="0" fontId="48" fillId="0" borderId="1" xfId="0" applyFont="1" applyBorder="1" applyAlignment="1">
      <alignment horizontal="center" vertical="justify"/>
    </xf>
    <xf numFmtId="0" fontId="49" fillId="0" borderId="0" xfId="1" applyFont="1"/>
    <xf numFmtId="0" fontId="7" fillId="0" borderId="0" xfId="0" applyFont="1" applyAlignment="1">
      <alignment horizontal="center"/>
    </xf>
    <xf numFmtId="0" fontId="51" fillId="0" borderId="23" xfId="0" applyFont="1" applyBorder="1" applyAlignment="1">
      <alignment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15" fillId="0" borderId="0" xfId="1" applyFont="1" applyAlignment="1">
      <alignment horizontal="right"/>
    </xf>
    <xf numFmtId="3" fontId="53" fillId="0" borderId="0" xfId="1" applyNumberFormat="1" applyFont="1"/>
    <xf numFmtId="0" fontId="54" fillId="0" borderId="0" xfId="1" applyFont="1" applyAlignment="1">
      <alignment wrapText="1"/>
    </xf>
    <xf numFmtId="3" fontId="54" fillId="0" borderId="0" xfId="1" applyNumberFormat="1" applyFont="1"/>
    <xf numFmtId="1" fontId="0" fillId="0" borderId="0" xfId="0" applyNumberFormat="1" applyAlignment="1">
      <alignment horizontal="center"/>
    </xf>
    <xf numFmtId="0" fontId="58" fillId="7" borderId="20" xfId="0" applyFont="1" applyFill="1" applyBorder="1" applyAlignment="1">
      <alignment horizontal="center" vertical="center" wrapText="1"/>
    </xf>
    <xf numFmtId="0" fontId="50" fillId="7" borderId="21" xfId="0" applyFont="1" applyFill="1" applyBorder="1" applyAlignment="1">
      <alignment horizontal="center" vertical="center" wrapText="1"/>
    </xf>
    <xf numFmtId="0" fontId="58" fillId="7" borderId="21" xfId="0" applyFont="1" applyFill="1" applyBorder="1" applyAlignment="1">
      <alignment horizontal="center" vertical="center" wrapText="1"/>
    </xf>
    <xf numFmtId="0" fontId="58" fillId="7" borderId="22" xfId="0" applyFont="1" applyFill="1" applyBorder="1" applyAlignment="1">
      <alignment horizontal="center" vertical="center" wrapText="1"/>
    </xf>
    <xf numFmtId="0" fontId="58" fillId="7" borderId="8" xfId="0" applyFont="1" applyFill="1" applyBorder="1" applyAlignment="1">
      <alignment horizontal="center" vertical="center" wrapText="1"/>
    </xf>
    <xf numFmtId="0" fontId="56" fillId="4" borderId="1" xfId="0" applyFont="1" applyFill="1" applyBorder="1" applyAlignment="1">
      <alignment horizontal="center" wrapText="1" shrinkToFit="1"/>
    </xf>
    <xf numFmtId="0" fontId="56" fillId="4" borderId="1" xfId="0" applyFont="1" applyFill="1" applyBorder="1" applyAlignment="1">
      <alignment wrapText="1" shrinkToFit="1"/>
    </xf>
    <xf numFmtId="0" fontId="58" fillId="7" borderId="1" xfId="0" applyFont="1" applyFill="1" applyBorder="1" applyAlignment="1">
      <alignment horizontal="center" vertical="center" wrapText="1"/>
    </xf>
    <xf numFmtId="0" fontId="59" fillId="8" borderId="38" xfId="0" applyFont="1" applyFill="1" applyBorder="1" applyAlignment="1">
      <alignment horizontal="center" vertical="center" wrapText="1"/>
    </xf>
    <xf numFmtId="0" fontId="59" fillId="8" borderId="38" xfId="0" applyFont="1" applyFill="1" applyBorder="1" applyAlignment="1">
      <alignment horizontal="right" vertical="center" wrapText="1"/>
    </xf>
    <xf numFmtId="49" fontId="39" fillId="0" borderId="0" xfId="0" applyNumberFormat="1" applyFont="1"/>
    <xf numFmtId="0" fontId="4" fillId="0" borderId="0" xfId="0" applyFont="1"/>
    <xf numFmtId="0" fontId="57" fillId="4" borderId="2" xfId="0" applyFont="1" applyFill="1" applyBorder="1" applyAlignment="1">
      <alignment wrapText="1" shrinkToFit="1"/>
    </xf>
    <xf numFmtId="0" fontId="57" fillId="4" borderId="2" xfId="0" applyFont="1" applyFill="1" applyBorder="1" applyAlignment="1">
      <alignment horizontal="center" wrapText="1" shrinkToFit="1"/>
    </xf>
    <xf numFmtId="0" fontId="4" fillId="4" borderId="1" xfId="0" applyFont="1" applyFill="1" applyBorder="1" applyAlignment="1">
      <alignment horizontal="center"/>
    </xf>
    <xf numFmtId="168" fontId="57" fillId="4" borderId="4" xfId="0" applyNumberFormat="1" applyFont="1" applyFill="1" applyBorder="1" applyAlignment="1">
      <alignment horizontal="right"/>
    </xf>
    <xf numFmtId="2" fontId="38" fillId="0" borderId="0" xfId="0" applyNumberFormat="1" applyFont="1"/>
    <xf numFmtId="0" fontId="39" fillId="4" borderId="0" xfId="0" applyFont="1" applyFill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right"/>
    </xf>
    <xf numFmtId="168" fontId="4" fillId="0" borderId="0" xfId="0" applyNumberFormat="1" applyFont="1"/>
    <xf numFmtId="0" fontId="60" fillId="0" borderId="10" xfId="0" applyFont="1" applyBorder="1" applyAlignment="1">
      <alignment horizontal="center" vertical="center" wrapText="1"/>
    </xf>
    <xf numFmtId="169" fontId="8" fillId="0" borderId="1" xfId="0" applyNumberFormat="1" applyFont="1" applyBorder="1"/>
    <xf numFmtId="0" fontId="34" fillId="0" borderId="10" xfId="0" applyFont="1" applyBorder="1" applyAlignment="1">
      <alignment horizontal="center" vertical="center" wrapText="1"/>
    </xf>
    <xf numFmtId="0" fontId="3" fillId="0" borderId="1" xfId="0" applyFont="1" applyBorder="1"/>
    <xf numFmtId="168" fontId="2" fillId="0" borderId="1" xfId="0" applyNumberFormat="1" applyFont="1" applyBorder="1"/>
    <xf numFmtId="0" fontId="12" fillId="2" borderId="2" xfId="1" applyFont="1" applyFill="1" applyBorder="1" applyAlignment="1">
      <alignment horizontal="center" wrapText="1"/>
    </xf>
    <xf numFmtId="0" fontId="12" fillId="2" borderId="1" xfId="1" applyFont="1" applyFill="1" applyBorder="1" applyAlignment="1">
      <alignment horizontal="center" wrapText="1"/>
    </xf>
    <xf numFmtId="0" fontId="15" fillId="3" borderId="7" xfId="1" applyFont="1" applyFill="1" applyBorder="1" applyAlignment="1">
      <alignment horizontal="center"/>
    </xf>
    <xf numFmtId="0" fontId="17" fillId="2" borderId="2" xfId="1" applyFont="1" applyFill="1" applyBorder="1"/>
    <xf numFmtId="0" fontId="12" fillId="2" borderId="8" xfId="1" applyFont="1" applyFill="1" applyBorder="1" applyAlignment="1">
      <alignment horizontal="center" wrapText="1"/>
    </xf>
    <xf numFmtId="0" fontId="34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1" fillId="6" borderId="9" xfId="0" applyFont="1" applyFill="1" applyBorder="1" applyAlignment="1">
      <alignment horizontal="center" vertical="justify"/>
    </xf>
    <xf numFmtId="0" fontId="21" fillId="6" borderId="10" xfId="0" applyFont="1" applyFill="1" applyBorder="1" applyAlignment="1">
      <alignment horizontal="center" vertical="justify"/>
    </xf>
    <xf numFmtId="0" fontId="0" fillId="6" borderId="12" xfId="0" applyFill="1" applyBorder="1" applyAlignment="1">
      <alignment vertical="justify"/>
    </xf>
    <xf numFmtId="0" fontId="9" fillId="0" borderId="0" xfId="0" applyFont="1" applyAlignment="1">
      <alignment horizontal="center" vertical="justify"/>
    </xf>
    <xf numFmtId="0" fontId="0" fillId="0" borderId="0" xfId="0" applyAlignment="1">
      <alignment horizontal="center" vertical="justify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9" fillId="0" borderId="0" xfId="1" applyFont="1" applyAlignment="1">
      <alignment horizontal="right" wrapText="1"/>
    </xf>
    <xf numFmtId="0" fontId="54" fillId="0" borderId="0" xfId="1" applyFont="1" applyAlignment="1">
      <alignment horizontal="right" wrapText="1"/>
    </xf>
    <xf numFmtId="0" fontId="11" fillId="2" borderId="7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/>
    </xf>
    <xf numFmtId="3" fontId="13" fillId="2" borderId="1" xfId="1" applyNumberFormat="1" applyFont="1" applyFill="1" applyBorder="1" applyAlignment="1"/>
    <xf numFmtId="0" fontId="14" fillId="2" borderId="1" xfId="2" applyFill="1" applyBorder="1" applyAlignment="1"/>
    <xf numFmtId="0" fontId="13" fillId="2" borderId="1" xfId="1" applyFont="1" applyFill="1" applyBorder="1" applyAlignment="1"/>
    <xf numFmtId="14" fontId="13" fillId="2" borderId="1" xfId="1" applyNumberFormat="1" applyFont="1" applyFill="1" applyBorder="1" applyAlignment="1"/>
    <xf numFmtId="20" fontId="13" fillId="2" borderId="1" xfId="1" applyNumberFormat="1" applyFont="1" applyFill="1" applyBorder="1" applyAlignment="1"/>
    <xf numFmtId="0" fontId="13" fillId="2" borderId="29" xfId="1" applyFont="1" applyFill="1" applyBorder="1" applyAlignment="1"/>
    <xf numFmtId="0" fontId="12" fillId="2" borderId="9" xfId="1" applyFont="1" applyFill="1" applyBorder="1" applyAlignment="1">
      <alignment horizontal="center" wrapText="1"/>
    </xf>
    <xf numFmtId="0" fontId="13" fillId="2" borderId="13" xfId="1" applyFont="1" applyFill="1" applyBorder="1" applyAlignment="1"/>
  </cellXfs>
  <cellStyles count="6">
    <cellStyle name="Гіперпосилання" xfId="2" builtinId="8"/>
    <cellStyle name="Звичайний" xfId="0" builtinId="0"/>
    <cellStyle name="Обычный 2" xfId="3" xr:uid="{00000000-0005-0000-0000-000002000000}"/>
    <cellStyle name="Обычный 2 2" xfId="5" xr:uid="{00000000-0005-0000-0000-000003000000}"/>
    <cellStyle name="Обычный 3" xfId="4" xr:uid="{00000000-0005-0000-0000-000004000000}"/>
    <cellStyle name="Обычный_Коммерческое предложение" xfId="1" xr:uid="{00000000-0005-0000-0000-000005000000}"/>
  </cellStyles>
  <dxfs count="0"/>
  <tableStyles count="0" defaultTableStyle="TableStyleMedium2" defaultPivotStyle="PivotStyleMedium9"/>
  <colors>
    <mruColors>
      <color rgb="FF0081E2"/>
      <color rgb="FFFFFF75"/>
      <color rgb="FF03CD6D"/>
      <color rgb="FFECECEC"/>
      <color rgb="FF02D886"/>
      <color rgb="FFFFFF5D"/>
      <color rgb="FFEDFF01"/>
      <color rgb="FF0DFB8A"/>
      <color rgb="FF3DF997"/>
      <color rgb="FF0060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7</xdr:col>
      <xdr:colOff>0</xdr:colOff>
      <xdr:row>1</xdr:row>
      <xdr:rowOff>7620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0508E6D-22D5-401A-BFAC-B92DB7969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9220199" cy="3268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0</xdr:rowOff>
    </xdr:from>
    <xdr:to>
      <xdr:col>1</xdr:col>
      <xdr:colOff>1120140</xdr:colOff>
      <xdr:row>0</xdr:row>
      <xdr:rowOff>929636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F63C31C-C904-4657-BC23-4C273772B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0"/>
          <a:ext cx="1173480" cy="929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1127009</xdr:colOff>
      <xdr:row>0</xdr:row>
      <xdr:rowOff>731520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A4E068E-F6A7-4C72-9549-F4926800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249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G298"/>
  <sheetViews>
    <sheetView tabSelected="1" zoomScaleNormal="100" workbookViewId="0">
      <selection activeCell="B4" sqref="B4"/>
    </sheetView>
  </sheetViews>
  <sheetFormatPr defaultColWidth="8.7109375" defaultRowHeight="12.75" x14ac:dyDescent="0.2"/>
  <cols>
    <col min="1" max="1" width="4.140625" style="25" customWidth="1"/>
    <col min="2" max="2" width="72.7109375" style="25" customWidth="1"/>
    <col min="3" max="3" width="11.28515625" style="25" customWidth="1"/>
    <col min="4" max="4" width="8.42578125" style="27" customWidth="1"/>
    <col min="5" max="5" width="14.28515625" style="74" customWidth="1"/>
    <col min="6" max="6" width="14.140625" style="25" customWidth="1"/>
    <col min="7" max="7" width="9.42578125" style="27" customWidth="1"/>
    <col min="8" max="8" width="11.5703125" style="25" customWidth="1"/>
    <col min="9" max="9" width="10.140625" style="25" customWidth="1"/>
    <col min="10" max="10" width="9.42578125" style="25" customWidth="1"/>
    <col min="11" max="12" width="9.140625" style="25"/>
    <col min="13" max="13" width="9.28515625" style="25" bestFit="1" customWidth="1"/>
    <col min="14" max="252" width="9.140625" style="25"/>
    <col min="253" max="253" width="5" style="25" customWidth="1"/>
    <col min="254" max="254" width="83" style="25" customWidth="1"/>
    <col min="255" max="255" width="9.7109375" style="25" customWidth="1"/>
    <col min="256" max="256" width="7.42578125" style="25" customWidth="1"/>
    <col min="257" max="257" width="11.7109375" style="25" customWidth="1"/>
    <col min="258" max="258" width="16.140625" style="25" customWidth="1"/>
    <col min="259" max="508" width="9.140625" style="25"/>
    <col min="509" max="509" width="5" style="25" customWidth="1"/>
    <col min="510" max="510" width="83" style="25" customWidth="1"/>
    <col min="511" max="511" width="9.7109375" style="25" customWidth="1"/>
    <col min="512" max="512" width="7.42578125" style="25" customWidth="1"/>
    <col min="513" max="513" width="11.7109375" style="25" customWidth="1"/>
    <col min="514" max="514" width="16.140625" style="25" customWidth="1"/>
    <col min="515" max="764" width="9.140625" style="25"/>
    <col min="765" max="765" width="5" style="25" customWidth="1"/>
    <col min="766" max="766" width="83" style="25" customWidth="1"/>
    <col min="767" max="767" width="9.7109375" style="25" customWidth="1"/>
    <col min="768" max="768" width="7.42578125" style="25" customWidth="1"/>
    <col min="769" max="769" width="11.7109375" style="25" customWidth="1"/>
    <col min="770" max="770" width="16.140625" style="25" customWidth="1"/>
    <col min="771" max="1020" width="9.140625" style="25"/>
    <col min="1021" max="1021" width="5" style="25" customWidth="1"/>
    <col min="1022" max="1022" width="83" style="25" customWidth="1"/>
    <col min="1023" max="1023" width="9.7109375" style="25" customWidth="1"/>
    <col min="1024" max="1024" width="7.42578125" style="25" customWidth="1"/>
    <col min="1025" max="1025" width="11.7109375" style="25" customWidth="1"/>
    <col min="1026" max="1026" width="16.140625" style="25" customWidth="1"/>
    <col min="1027" max="1276" width="9.140625" style="25"/>
    <col min="1277" max="1277" width="5" style="25" customWidth="1"/>
    <col min="1278" max="1278" width="83" style="25" customWidth="1"/>
    <col min="1279" max="1279" width="9.7109375" style="25" customWidth="1"/>
    <col min="1280" max="1280" width="7.42578125" style="25" customWidth="1"/>
    <col min="1281" max="1281" width="11.7109375" style="25" customWidth="1"/>
    <col min="1282" max="1282" width="16.140625" style="25" customWidth="1"/>
    <col min="1283" max="1532" width="9.140625" style="25"/>
    <col min="1533" max="1533" width="5" style="25" customWidth="1"/>
    <col min="1534" max="1534" width="83" style="25" customWidth="1"/>
    <col min="1535" max="1535" width="9.7109375" style="25" customWidth="1"/>
    <col min="1536" max="1536" width="7.42578125" style="25" customWidth="1"/>
    <col min="1537" max="1537" width="11.7109375" style="25" customWidth="1"/>
    <col min="1538" max="1538" width="16.140625" style="25" customWidth="1"/>
    <col min="1539" max="1788" width="9.140625" style="25"/>
    <col min="1789" max="1789" width="5" style="25" customWidth="1"/>
    <col min="1790" max="1790" width="83" style="25" customWidth="1"/>
    <col min="1791" max="1791" width="9.7109375" style="25" customWidth="1"/>
    <col min="1792" max="1792" width="7.42578125" style="25" customWidth="1"/>
    <col min="1793" max="1793" width="11.7109375" style="25" customWidth="1"/>
    <col min="1794" max="1794" width="16.140625" style="25" customWidth="1"/>
    <col min="1795" max="2044" width="9.140625" style="25"/>
    <col min="2045" max="2045" width="5" style="25" customWidth="1"/>
    <col min="2046" max="2046" width="83" style="25" customWidth="1"/>
    <col min="2047" max="2047" width="9.7109375" style="25" customWidth="1"/>
    <col min="2048" max="2048" width="7.42578125" style="25" customWidth="1"/>
    <col min="2049" max="2049" width="11.7109375" style="25" customWidth="1"/>
    <col min="2050" max="2050" width="16.140625" style="25" customWidth="1"/>
    <col min="2051" max="2300" width="9.140625" style="25"/>
    <col min="2301" max="2301" width="5" style="25" customWidth="1"/>
    <col min="2302" max="2302" width="83" style="25" customWidth="1"/>
    <col min="2303" max="2303" width="9.7109375" style="25" customWidth="1"/>
    <col min="2304" max="2304" width="7.42578125" style="25" customWidth="1"/>
    <col min="2305" max="2305" width="11.7109375" style="25" customWidth="1"/>
    <col min="2306" max="2306" width="16.140625" style="25" customWidth="1"/>
    <col min="2307" max="2556" width="9.140625" style="25"/>
    <col min="2557" max="2557" width="5" style="25" customWidth="1"/>
    <col min="2558" max="2558" width="83" style="25" customWidth="1"/>
    <col min="2559" max="2559" width="9.7109375" style="25" customWidth="1"/>
    <col min="2560" max="2560" width="7.42578125" style="25" customWidth="1"/>
    <col min="2561" max="2561" width="11.7109375" style="25" customWidth="1"/>
    <col min="2562" max="2562" width="16.140625" style="25" customWidth="1"/>
    <col min="2563" max="2812" width="9.140625" style="25"/>
    <col min="2813" max="2813" width="5" style="25" customWidth="1"/>
    <col min="2814" max="2814" width="83" style="25" customWidth="1"/>
    <col min="2815" max="2815" width="9.7109375" style="25" customWidth="1"/>
    <col min="2816" max="2816" width="7.42578125" style="25" customWidth="1"/>
    <col min="2817" max="2817" width="11.7109375" style="25" customWidth="1"/>
    <col min="2818" max="2818" width="16.140625" style="25" customWidth="1"/>
    <col min="2819" max="3068" width="9.140625" style="25"/>
    <col min="3069" max="3069" width="5" style="25" customWidth="1"/>
    <col min="3070" max="3070" width="83" style="25" customWidth="1"/>
    <col min="3071" max="3071" width="9.7109375" style="25" customWidth="1"/>
    <col min="3072" max="3072" width="7.42578125" style="25" customWidth="1"/>
    <col min="3073" max="3073" width="11.7109375" style="25" customWidth="1"/>
    <col min="3074" max="3074" width="16.140625" style="25" customWidth="1"/>
    <col min="3075" max="3324" width="9.140625" style="25"/>
    <col min="3325" max="3325" width="5" style="25" customWidth="1"/>
    <col min="3326" max="3326" width="83" style="25" customWidth="1"/>
    <col min="3327" max="3327" width="9.7109375" style="25" customWidth="1"/>
    <col min="3328" max="3328" width="7.42578125" style="25" customWidth="1"/>
    <col min="3329" max="3329" width="11.7109375" style="25" customWidth="1"/>
    <col min="3330" max="3330" width="16.140625" style="25" customWidth="1"/>
    <col min="3331" max="3580" width="9.140625" style="25"/>
    <col min="3581" max="3581" width="5" style="25" customWidth="1"/>
    <col min="3582" max="3582" width="83" style="25" customWidth="1"/>
    <col min="3583" max="3583" width="9.7109375" style="25" customWidth="1"/>
    <col min="3584" max="3584" width="7.42578125" style="25" customWidth="1"/>
    <col min="3585" max="3585" width="11.7109375" style="25" customWidth="1"/>
    <col min="3586" max="3586" width="16.140625" style="25" customWidth="1"/>
    <col min="3587" max="3836" width="9.140625" style="25"/>
    <col min="3837" max="3837" width="5" style="25" customWidth="1"/>
    <col min="3838" max="3838" width="83" style="25" customWidth="1"/>
    <col min="3839" max="3839" width="9.7109375" style="25" customWidth="1"/>
    <col min="3840" max="3840" width="7.42578125" style="25" customWidth="1"/>
    <col min="3841" max="3841" width="11.7109375" style="25" customWidth="1"/>
    <col min="3842" max="3842" width="16.140625" style="25" customWidth="1"/>
    <col min="3843" max="4092" width="9.140625" style="25"/>
    <col min="4093" max="4093" width="5" style="25" customWidth="1"/>
    <col min="4094" max="4094" width="83" style="25" customWidth="1"/>
    <col min="4095" max="4095" width="9.7109375" style="25" customWidth="1"/>
    <col min="4096" max="4096" width="7.42578125" style="25" customWidth="1"/>
    <col min="4097" max="4097" width="11.7109375" style="25" customWidth="1"/>
    <col min="4098" max="4098" width="16.140625" style="25" customWidth="1"/>
    <col min="4099" max="4348" width="9.140625" style="25"/>
    <col min="4349" max="4349" width="5" style="25" customWidth="1"/>
    <col min="4350" max="4350" width="83" style="25" customWidth="1"/>
    <col min="4351" max="4351" width="9.7109375" style="25" customWidth="1"/>
    <col min="4352" max="4352" width="7.42578125" style="25" customWidth="1"/>
    <col min="4353" max="4353" width="11.7109375" style="25" customWidth="1"/>
    <col min="4354" max="4354" width="16.140625" style="25" customWidth="1"/>
    <col min="4355" max="4604" width="9.140625" style="25"/>
    <col min="4605" max="4605" width="5" style="25" customWidth="1"/>
    <col min="4606" max="4606" width="83" style="25" customWidth="1"/>
    <col min="4607" max="4607" width="9.7109375" style="25" customWidth="1"/>
    <col min="4608" max="4608" width="7.42578125" style="25" customWidth="1"/>
    <col min="4609" max="4609" width="11.7109375" style="25" customWidth="1"/>
    <col min="4610" max="4610" width="16.140625" style="25" customWidth="1"/>
    <col min="4611" max="4860" width="9.140625" style="25"/>
    <col min="4861" max="4861" width="5" style="25" customWidth="1"/>
    <col min="4862" max="4862" width="83" style="25" customWidth="1"/>
    <col min="4863" max="4863" width="9.7109375" style="25" customWidth="1"/>
    <col min="4864" max="4864" width="7.42578125" style="25" customWidth="1"/>
    <col min="4865" max="4865" width="11.7109375" style="25" customWidth="1"/>
    <col min="4866" max="4866" width="16.140625" style="25" customWidth="1"/>
    <col min="4867" max="5116" width="9.140625" style="25"/>
    <col min="5117" max="5117" width="5" style="25" customWidth="1"/>
    <col min="5118" max="5118" width="83" style="25" customWidth="1"/>
    <col min="5119" max="5119" width="9.7109375" style="25" customWidth="1"/>
    <col min="5120" max="5120" width="7.42578125" style="25" customWidth="1"/>
    <col min="5121" max="5121" width="11.7109375" style="25" customWidth="1"/>
    <col min="5122" max="5122" width="16.140625" style="25" customWidth="1"/>
    <col min="5123" max="5372" width="9.140625" style="25"/>
    <col min="5373" max="5373" width="5" style="25" customWidth="1"/>
    <col min="5374" max="5374" width="83" style="25" customWidth="1"/>
    <col min="5375" max="5375" width="9.7109375" style="25" customWidth="1"/>
    <col min="5376" max="5376" width="7.42578125" style="25" customWidth="1"/>
    <col min="5377" max="5377" width="11.7109375" style="25" customWidth="1"/>
    <col min="5378" max="5378" width="16.140625" style="25" customWidth="1"/>
    <col min="5379" max="5628" width="9.140625" style="25"/>
    <col min="5629" max="5629" width="5" style="25" customWidth="1"/>
    <col min="5630" max="5630" width="83" style="25" customWidth="1"/>
    <col min="5631" max="5631" width="9.7109375" style="25" customWidth="1"/>
    <col min="5632" max="5632" width="7.42578125" style="25" customWidth="1"/>
    <col min="5633" max="5633" width="11.7109375" style="25" customWidth="1"/>
    <col min="5634" max="5634" width="16.140625" style="25" customWidth="1"/>
    <col min="5635" max="5884" width="9.140625" style="25"/>
    <col min="5885" max="5885" width="5" style="25" customWidth="1"/>
    <col min="5886" max="5886" width="83" style="25" customWidth="1"/>
    <col min="5887" max="5887" width="9.7109375" style="25" customWidth="1"/>
    <col min="5888" max="5888" width="7.42578125" style="25" customWidth="1"/>
    <col min="5889" max="5889" width="11.7109375" style="25" customWidth="1"/>
    <col min="5890" max="5890" width="16.140625" style="25" customWidth="1"/>
    <col min="5891" max="6140" width="9.140625" style="25"/>
    <col min="6141" max="6141" width="5" style="25" customWidth="1"/>
    <col min="6142" max="6142" width="83" style="25" customWidth="1"/>
    <col min="6143" max="6143" width="9.7109375" style="25" customWidth="1"/>
    <col min="6144" max="6144" width="7.42578125" style="25" customWidth="1"/>
    <col min="6145" max="6145" width="11.7109375" style="25" customWidth="1"/>
    <col min="6146" max="6146" width="16.140625" style="25" customWidth="1"/>
    <col min="6147" max="6396" width="9.140625" style="25"/>
    <col min="6397" max="6397" width="5" style="25" customWidth="1"/>
    <col min="6398" max="6398" width="83" style="25" customWidth="1"/>
    <col min="6399" max="6399" width="9.7109375" style="25" customWidth="1"/>
    <col min="6400" max="6400" width="7.42578125" style="25" customWidth="1"/>
    <col min="6401" max="6401" width="11.7109375" style="25" customWidth="1"/>
    <col min="6402" max="6402" width="16.140625" style="25" customWidth="1"/>
    <col min="6403" max="6652" width="9.140625" style="25"/>
    <col min="6653" max="6653" width="5" style="25" customWidth="1"/>
    <col min="6654" max="6654" width="83" style="25" customWidth="1"/>
    <col min="6655" max="6655" width="9.7109375" style="25" customWidth="1"/>
    <col min="6656" max="6656" width="7.42578125" style="25" customWidth="1"/>
    <col min="6657" max="6657" width="11.7109375" style="25" customWidth="1"/>
    <col min="6658" max="6658" width="16.140625" style="25" customWidth="1"/>
    <col min="6659" max="6908" width="9.140625" style="25"/>
    <col min="6909" max="6909" width="5" style="25" customWidth="1"/>
    <col min="6910" max="6910" width="83" style="25" customWidth="1"/>
    <col min="6911" max="6911" width="9.7109375" style="25" customWidth="1"/>
    <col min="6912" max="6912" width="7.42578125" style="25" customWidth="1"/>
    <col min="6913" max="6913" width="11.7109375" style="25" customWidth="1"/>
    <col min="6914" max="6914" width="16.140625" style="25" customWidth="1"/>
    <col min="6915" max="7164" width="9.140625" style="25"/>
    <col min="7165" max="7165" width="5" style="25" customWidth="1"/>
    <col min="7166" max="7166" width="83" style="25" customWidth="1"/>
    <col min="7167" max="7167" width="9.7109375" style="25" customWidth="1"/>
    <col min="7168" max="7168" width="7.42578125" style="25" customWidth="1"/>
    <col min="7169" max="7169" width="11.7109375" style="25" customWidth="1"/>
    <col min="7170" max="7170" width="16.140625" style="25" customWidth="1"/>
    <col min="7171" max="7420" width="9.140625" style="25"/>
    <col min="7421" max="7421" width="5" style="25" customWidth="1"/>
    <col min="7422" max="7422" width="83" style="25" customWidth="1"/>
    <col min="7423" max="7423" width="9.7109375" style="25" customWidth="1"/>
    <col min="7424" max="7424" width="7.42578125" style="25" customWidth="1"/>
    <col min="7425" max="7425" width="11.7109375" style="25" customWidth="1"/>
    <col min="7426" max="7426" width="16.140625" style="25" customWidth="1"/>
    <col min="7427" max="7676" width="9.140625" style="25"/>
    <col min="7677" max="7677" width="5" style="25" customWidth="1"/>
    <col min="7678" max="7678" width="83" style="25" customWidth="1"/>
    <col min="7679" max="7679" width="9.7109375" style="25" customWidth="1"/>
    <col min="7680" max="7680" width="7.42578125" style="25" customWidth="1"/>
    <col min="7681" max="7681" width="11.7109375" style="25" customWidth="1"/>
    <col min="7682" max="7682" width="16.140625" style="25" customWidth="1"/>
    <col min="7683" max="7932" width="9.140625" style="25"/>
    <col min="7933" max="7933" width="5" style="25" customWidth="1"/>
    <col min="7934" max="7934" width="83" style="25" customWidth="1"/>
    <col min="7935" max="7935" width="9.7109375" style="25" customWidth="1"/>
    <col min="7936" max="7936" width="7.42578125" style="25" customWidth="1"/>
    <col min="7937" max="7937" width="11.7109375" style="25" customWidth="1"/>
    <col min="7938" max="7938" width="16.140625" style="25" customWidth="1"/>
    <col min="7939" max="8188" width="9.140625" style="25"/>
    <col min="8189" max="8189" width="5" style="25" customWidth="1"/>
    <col min="8190" max="8190" width="83" style="25" customWidth="1"/>
    <col min="8191" max="8191" width="9.7109375" style="25" customWidth="1"/>
    <col min="8192" max="8192" width="7.42578125" style="25" customWidth="1"/>
    <col min="8193" max="8193" width="11.7109375" style="25" customWidth="1"/>
    <col min="8194" max="8194" width="16.140625" style="25" customWidth="1"/>
    <col min="8195" max="8444" width="9.140625" style="25"/>
    <col min="8445" max="8445" width="5" style="25" customWidth="1"/>
    <col min="8446" max="8446" width="83" style="25" customWidth="1"/>
    <col min="8447" max="8447" width="9.7109375" style="25" customWidth="1"/>
    <col min="8448" max="8448" width="7.42578125" style="25" customWidth="1"/>
    <col min="8449" max="8449" width="11.7109375" style="25" customWidth="1"/>
    <col min="8450" max="8450" width="16.140625" style="25" customWidth="1"/>
    <col min="8451" max="8700" width="9.140625" style="25"/>
    <col min="8701" max="8701" width="5" style="25" customWidth="1"/>
    <col min="8702" max="8702" width="83" style="25" customWidth="1"/>
    <col min="8703" max="8703" width="9.7109375" style="25" customWidth="1"/>
    <col min="8704" max="8704" width="7.42578125" style="25" customWidth="1"/>
    <col min="8705" max="8705" width="11.7109375" style="25" customWidth="1"/>
    <col min="8706" max="8706" width="16.140625" style="25" customWidth="1"/>
    <col min="8707" max="8956" width="9.140625" style="25"/>
    <col min="8957" max="8957" width="5" style="25" customWidth="1"/>
    <col min="8958" max="8958" width="83" style="25" customWidth="1"/>
    <col min="8959" max="8959" width="9.7109375" style="25" customWidth="1"/>
    <col min="8960" max="8960" width="7.42578125" style="25" customWidth="1"/>
    <col min="8961" max="8961" width="11.7109375" style="25" customWidth="1"/>
    <col min="8962" max="8962" width="16.140625" style="25" customWidth="1"/>
    <col min="8963" max="9212" width="9.140625" style="25"/>
    <col min="9213" max="9213" width="5" style="25" customWidth="1"/>
    <col min="9214" max="9214" width="83" style="25" customWidth="1"/>
    <col min="9215" max="9215" width="9.7109375" style="25" customWidth="1"/>
    <col min="9216" max="9216" width="7.42578125" style="25" customWidth="1"/>
    <col min="9217" max="9217" width="11.7109375" style="25" customWidth="1"/>
    <col min="9218" max="9218" width="16.140625" style="25" customWidth="1"/>
    <col min="9219" max="9468" width="9.140625" style="25"/>
    <col min="9469" max="9469" width="5" style="25" customWidth="1"/>
    <col min="9470" max="9470" width="83" style="25" customWidth="1"/>
    <col min="9471" max="9471" width="9.7109375" style="25" customWidth="1"/>
    <col min="9472" max="9472" width="7.42578125" style="25" customWidth="1"/>
    <col min="9473" max="9473" width="11.7109375" style="25" customWidth="1"/>
    <col min="9474" max="9474" width="16.140625" style="25" customWidth="1"/>
    <col min="9475" max="9724" width="9.140625" style="25"/>
    <col min="9725" max="9725" width="5" style="25" customWidth="1"/>
    <col min="9726" max="9726" width="83" style="25" customWidth="1"/>
    <col min="9727" max="9727" width="9.7109375" style="25" customWidth="1"/>
    <col min="9728" max="9728" width="7.42578125" style="25" customWidth="1"/>
    <col min="9729" max="9729" width="11.7109375" style="25" customWidth="1"/>
    <col min="9730" max="9730" width="16.140625" style="25" customWidth="1"/>
    <col min="9731" max="9980" width="9.140625" style="25"/>
    <col min="9981" max="9981" width="5" style="25" customWidth="1"/>
    <col min="9982" max="9982" width="83" style="25" customWidth="1"/>
    <col min="9983" max="9983" width="9.7109375" style="25" customWidth="1"/>
    <col min="9984" max="9984" width="7.42578125" style="25" customWidth="1"/>
    <col min="9985" max="9985" width="11.7109375" style="25" customWidth="1"/>
    <col min="9986" max="9986" width="16.140625" style="25" customWidth="1"/>
    <col min="9987" max="10236" width="9.140625" style="25"/>
    <col min="10237" max="10237" width="5" style="25" customWidth="1"/>
    <col min="10238" max="10238" width="83" style="25" customWidth="1"/>
    <col min="10239" max="10239" width="9.7109375" style="25" customWidth="1"/>
    <col min="10240" max="10240" width="7.42578125" style="25" customWidth="1"/>
    <col min="10241" max="10241" width="11.7109375" style="25" customWidth="1"/>
    <col min="10242" max="10242" width="16.140625" style="25" customWidth="1"/>
    <col min="10243" max="10492" width="9.140625" style="25"/>
    <col min="10493" max="10493" width="5" style="25" customWidth="1"/>
    <col min="10494" max="10494" width="83" style="25" customWidth="1"/>
    <col min="10495" max="10495" width="9.7109375" style="25" customWidth="1"/>
    <col min="10496" max="10496" width="7.42578125" style="25" customWidth="1"/>
    <col min="10497" max="10497" width="11.7109375" style="25" customWidth="1"/>
    <col min="10498" max="10498" width="16.140625" style="25" customWidth="1"/>
    <col min="10499" max="10748" width="9.140625" style="25"/>
    <col min="10749" max="10749" width="5" style="25" customWidth="1"/>
    <col min="10750" max="10750" width="83" style="25" customWidth="1"/>
    <col min="10751" max="10751" width="9.7109375" style="25" customWidth="1"/>
    <col min="10752" max="10752" width="7.42578125" style="25" customWidth="1"/>
    <col min="10753" max="10753" width="11.7109375" style="25" customWidth="1"/>
    <col min="10754" max="10754" width="16.140625" style="25" customWidth="1"/>
    <col min="10755" max="11004" width="9.140625" style="25"/>
    <col min="11005" max="11005" width="5" style="25" customWidth="1"/>
    <col min="11006" max="11006" width="83" style="25" customWidth="1"/>
    <col min="11007" max="11007" width="9.7109375" style="25" customWidth="1"/>
    <col min="11008" max="11008" width="7.42578125" style="25" customWidth="1"/>
    <col min="11009" max="11009" width="11.7109375" style="25" customWidth="1"/>
    <col min="11010" max="11010" width="16.140625" style="25" customWidth="1"/>
    <col min="11011" max="11260" width="9.140625" style="25"/>
    <col min="11261" max="11261" width="5" style="25" customWidth="1"/>
    <col min="11262" max="11262" width="83" style="25" customWidth="1"/>
    <col min="11263" max="11263" width="9.7109375" style="25" customWidth="1"/>
    <col min="11264" max="11264" width="7.42578125" style="25" customWidth="1"/>
    <col min="11265" max="11265" width="11.7109375" style="25" customWidth="1"/>
    <col min="11266" max="11266" width="16.140625" style="25" customWidth="1"/>
    <col min="11267" max="11516" width="9.140625" style="25"/>
    <col min="11517" max="11517" width="5" style="25" customWidth="1"/>
    <col min="11518" max="11518" width="83" style="25" customWidth="1"/>
    <col min="11519" max="11519" width="9.7109375" style="25" customWidth="1"/>
    <col min="11520" max="11520" width="7.42578125" style="25" customWidth="1"/>
    <col min="11521" max="11521" width="11.7109375" style="25" customWidth="1"/>
    <col min="11522" max="11522" width="16.140625" style="25" customWidth="1"/>
    <col min="11523" max="11772" width="9.140625" style="25"/>
    <col min="11773" max="11773" width="5" style="25" customWidth="1"/>
    <col min="11774" max="11774" width="83" style="25" customWidth="1"/>
    <col min="11775" max="11775" width="9.7109375" style="25" customWidth="1"/>
    <col min="11776" max="11776" width="7.42578125" style="25" customWidth="1"/>
    <col min="11777" max="11777" width="11.7109375" style="25" customWidth="1"/>
    <col min="11778" max="11778" width="16.140625" style="25" customWidth="1"/>
    <col min="11779" max="12028" width="9.140625" style="25"/>
    <col min="12029" max="12029" width="5" style="25" customWidth="1"/>
    <col min="12030" max="12030" width="83" style="25" customWidth="1"/>
    <col min="12031" max="12031" width="9.7109375" style="25" customWidth="1"/>
    <col min="12032" max="12032" width="7.42578125" style="25" customWidth="1"/>
    <col min="12033" max="12033" width="11.7109375" style="25" customWidth="1"/>
    <col min="12034" max="12034" width="16.140625" style="25" customWidth="1"/>
    <col min="12035" max="12284" width="9.140625" style="25"/>
    <col min="12285" max="12285" width="5" style="25" customWidth="1"/>
    <col min="12286" max="12286" width="83" style="25" customWidth="1"/>
    <col min="12287" max="12287" width="9.7109375" style="25" customWidth="1"/>
    <col min="12288" max="12288" width="7.42578125" style="25" customWidth="1"/>
    <col min="12289" max="12289" width="11.7109375" style="25" customWidth="1"/>
    <col min="12290" max="12290" width="16.140625" style="25" customWidth="1"/>
    <col min="12291" max="12540" width="9.140625" style="25"/>
    <col min="12541" max="12541" width="5" style="25" customWidth="1"/>
    <col min="12542" max="12542" width="83" style="25" customWidth="1"/>
    <col min="12543" max="12543" width="9.7109375" style="25" customWidth="1"/>
    <col min="12544" max="12544" width="7.42578125" style="25" customWidth="1"/>
    <col min="12545" max="12545" width="11.7109375" style="25" customWidth="1"/>
    <col min="12546" max="12546" width="16.140625" style="25" customWidth="1"/>
    <col min="12547" max="12796" width="9.140625" style="25"/>
    <col min="12797" max="12797" width="5" style="25" customWidth="1"/>
    <col min="12798" max="12798" width="83" style="25" customWidth="1"/>
    <col min="12799" max="12799" width="9.7109375" style="25" customWidth="1"/>
    <col min="12800" max="12800" width="7.42578125" style="25" customWidth="1"/>
    <col min="12801" max="12801" width="11.7109375" style="25" customWidth="1"/>
    <col min="12802" max="12802" width="16.140625" style="25" customWidth="1"/>
    <col min="12803" max="13052" width="9.140625" style="25"/>
    <col min="13053" max="13053" width="5" style="25" customWidth="1"/>
    <col min="13054" max="13054" width="83" style="25" customWidth="1"/>
    <col min="13055" max="13055" width="9.7109375" style="25" customWidth="1"/>
    <col min="13056" max="13056" width="7.42578125" style="25" customWidth="1"/>
    <col min="13057" max="13057" width="11.7109375" style="25" customWidth="1"/>
    <col min="13058" max="13058" width="16.140625" style="25" customWidth="1"/>
    <col min="13059" max="13308" width="9.140625" style="25"/>
    <col min="13309" max="13309" width="5" style="25" customWidth="1"/>
    <col min="13310" max="13310" width="83" style="25" customWidth="1"/>
    <col min="13311" max="13311" width="9.7109375" style="25" customWidth="1"/>
    <col min="13312" max="13312" width="7.42578125" style="25" customWidth="1"/>
    <col min="13313" max="13313" width="11.7109375" style="25" customWidth="1"/>
    <col min="13314" max="13314" width="16.140625" style="25" customWidth="1"/>
    <col min="13315" max="13564" width="9.140625" style="25"/>
    <col min="13565" max="13565" width="5" style="25" customWidth="1"/>
    <col min="13566" max="13566" width="83" style="25" customWidth="1"/>
    <col min="13567" max="13567" width="9.7109375" style="25" customWidth="1"/>
    <col min="13568" max="13568" width="7.42578125" style="25" customWidth="1"/>
    <col min="13569" max="13569" width="11.7109375" style="25" customWidth="1"/>
    <col min="13570" max="13570" width="16.140625" style="25" customWidth="1"/>
    <col min="13571" max="13820" width="9.140625" style="25"/>
    <col min="13821" max="13821" width="5" style="25" customWidth="1"/>
    <col min="13822" max="13822" width="83" style="25" customWidth="1"/>
    <col min="13823" max="13823" width="9.7109375" style="25" customWidth="1"/>
    <col min="13824" max="13824" width="7.42578125" style="25" customWidth="1"/>
    <col min="13825" max="13825" width="11.7109375" style="25" customWidth="1"/>
    <col min="13826" max="13826" width="16.140625" style="25" customWidth="1"/>
    <col min="13827" max="14076" width="9.140625" style="25"/>
    <col min="14077" max="14077" width="5" style="25" customWidth="1"/>
    <col min="14078" max="14078" width="83" style="25" customWidth="1"/>
    <col min="14079" max="14079" width="9.7109375" style="25" customWidth="1"/>
    <col min="14080" max="14080" width="7.42578125" style="25" customWidth="1"/>
    <col min="14081" max="14081" width="11.7109375" style="25" customWidth="1"/>
    <col min="14082" max="14082" width="16.140625" style="25" customWidth="1"/>
    <col min="14083" max="14332" width="9.140625" style="25"/>
    <col min="14333" max="14333" width="5" style="25" customWidth="1"/>
    <col min="14334" max="14334" width="83" style="25" customWidth="1"/>
    <col min="14335" max="14335" width="9.7109375" style="25" customWidth="1"/>
    <col min="14336" max="14336" width="7.42578125" style="25" customWidth="1"/>
    <col min="14337" max="14337" width="11.7109375" style="25" customWidth="1"/>
    <col min="14338" max="14338" width="16.140625" style="25" customWidth="1"/>
    <col min="14339" max="14588" width="9.140625" style="25"/>
    <col min="14589" max="14589" width="5" style="25" customWidth="1"/>
    <col min="14590" max="14590" width="83" style="25" customWidth="1"/>
    <col min="14591" max="14591" width="9.7109375" style="25" customWidth="1"/>
    <col min="14592" max="14592" width="7.42578125" style="25" customWidth="1"/>
    <col min="14593" max="14593" width="11.7109375" style="25" customWidth="1"/>
    <col min="14594" max="14594" width="16.140625" style="25" customWidth="1"/>
    <col min="14595" max="14844" width="9.140625" style="25"/>
    <col min="14845" max="14845" width="5" style="25" customWidth="1"/>
    <col min="14846" max="14846" width="83" style="25" customWidth="1"/>
    <col min="14847" max="14847" width="9.7109375" style="25" customWidth="1"/>
    <col min="14848" max="14848" width="7.42578125" style="25" customWidth="1"/>
    <col min="14849" max="14849" width="11.7109375" style="25" customWidth="1"/>
    <col min="14850" max="14850" width="16.140625" style="25" customWidth="1"/>
    <col min="14851" max="15100" width="9.140625" style="25"/>
    <col min="15101" max="15101" width="5" style="25" customWidth="1"/>
    <col min="15102" max="15102" width="83" style="25" customWidth="1"/>
    <col min="15103" max="15103" width="9.7109375" style="25" customWidth="1"/>
    <col min="15104" max="15104" width="7.42578125" style="25" customWidth="1"/>
    <col min="15105" max="15105" width="11.7109375" style="25" customWidth="1"/>
    <col min="15106" max="15106" width="16.140625" style="25" customWidth="1"/>
    <col min="15107" max="15356" width="9.140625" style="25"/>
    <col min="15357" max="15357" width="5" style="25" customWidth="1"/>
    <col min="15358" max="15358" width="83" style="25" customWidth="1"/>
    <col min="15359" max="15359" width="9.7109375" style="25" customWidth="1"/>
    <col min="15360" max="15360" width="7.42578125" style="25" customWidth="1"/>
    <col min="15361" max="15361" width="11.7109375" style="25" customWidth="1"/>
    <col min="15362" max="15362" width="16.140625" style="25" customWidth="1"/>
    <col min="15363" max="15612" width="9.140625" style="25"/>
    <col min="15613" max="15613" width="5" style="25" customWidth="1"/>
    <col min="15614" max="15614" width="83" style="25" customWidth="1"/>
    <col min="15615" max="15615" width="9.7109375" style="25" customWidth="1"/>
    <col min="15616" max="15616" width="7.42578125" style="25" customWidth="1"/>
    <col min="15617" max="15617" width="11.7109375" style="25" customWidth="1"/>
    <col min="15618" max="15618" width="16.140625" style="25" customWidth="1"/>
    <col min="15619" max="15868" width="9.140625" style="25"/>
    <col min="15869" max="15869" width="5" style="25" customWidth="1"/>
    <col min="15870" max="15870" width="83" style="25" customWidth="1"/>
    <col min="15871" max="15871" width="9.7109375" style="25" customWidth="1"/>
    <col min="15872" max="15872" width="7.42578125" style="25" customWidth="1"/>
    <col min="15873" max="15873" width="11.7109375" style="25" customWidth="1"/>
    <col min="15874" max="15874" width="16.140625" style="25" customWidth="1"/>
    <col min="15875" max="16124" width="9.140625" style="25"/>
    <col min="16125" max="16125" width="5" style="25" customWidth="1"/>
    <col min="16126" max="16126" width="83" style="25" customWidth="1"/>
    <col min="16127" max="16127" width="9.7109375" style="25" customWidth="1"/>
    <col min="16128" max="16128" width="7.42578125" style="25" customWidth="1"/>
    <col min="16129" max="16129" width="11.7109375" style="25" customWidth="1"/>
    <col min="16130" max="16130" width="16.140625" style="25" customWidth="1"/>
    <col min="16131" max="16382" width="9.140625" style="25"/>
    <col min="16383" max="16384" width="9.140625" style="25" customWidth="1"/>
  </cols>
  <sheetData>
    <row r="1" spans="1:137" ht="256.89999999999998" customHeight="1" thickBot="1" x14ac:dyDescent="0.3">
      <c r="A1" s="104"/>
      <c r="B1" s="190"/>
      <c r="C1" s="156"/>
      <c r="D1" s="200"/>
      <c r="E1" s="201"/>
      <c r="F1" s="202"/>
    </row>
    <row r="2" spans="1:137" customFormat="1" ht="56.45" customHeight="1" thickBot="1" x14ac:dyDescent="0.3">
      <c r="A2" s="168" t="s">
        <v>18</v>
      </c>
      <c r="B2" s="169" t="s">
        <v>442</v>
      </c>
      <c r="C2" s="170" t="s">
        <v>19</v>
      </c>
      <c r="D2" s="170" t="s">
        <v>20</v>
      </c>
      <c r="E2" s="170" t="s">
        <v>21</v>
      </c>
      <c r="F2" s="171" t="s">
        <v>22</v>
      </c>
      <c r="G2" s="172" t="s">
        <v>67</v>
      </c>
      <c r="I2" s="86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</row>
    <row r="3" spans="1:137" customFormat="1" ht="15.75" x14ac:dyDescent="0.25">
      <c r="A3" s="173"/>
      <c r="B3" s="173" t="s">
        <v>424</v>
      </c>
      <c r="C3" s="173"/>
      <c r="D3" s="174"/>
      <c r="E3" s="174"/>
      <c r="F3" s="174"/>
      <c r="G3" s="86"/>
      <c r="H3" s="86"/>
      <c r="I3" s="86"/>
      <c r="J3" s="86"/>
      <c r="K3" s="86"/>
    </row>
    <row r="4" spans="1:137" s="179" customFormat="1" ht="16.899999999999999" customHeight="1" x14ac:dyDescent="0.25">
      <c r="A4" s="175"/>
      <c r="B4" s="176" t="s">
        <v>413</v>
      </c>
      <c r="C4" s="176"/>
      <c r="D4" s="177"/>
      <c r="E4" s="175"/>
      <c r="F4" s="175"/>
      <c r="G4" s="178"/>
      <c r="H4" s="26"/>
      <c r="I4" s="84"/>
      <c r="J4"/>
      <c r="K4"/>
      <c r="L4"/>
    </row>
    <row r="5" spans="1:137" customFormat="1" ht="15.75" x14ac:dyDescent="0.25">
      <c r="A5" s="174">
        <v>1</v>
      </c>
      <c r="B5" s="180" t="s">
        <v>422</v>
      </c>
      <c r="C5" s="181" t="s">
        <v>412</v>
      </c>
      <c r="D5" s="182">
        <v>40</v>
      </c>
      <c r="E5" s="183">
        <v>57</v>
      </c>
      <c r="F5" s="183">
        <f t="shared" ref="F5:F7" si="0">E5*D5</f>
        <v>2280</v>
      </c>
      <c r="G5" s="167">
        <v>45</v>
      </c>
      <c r="H5" s="184">
        <f t="shared" ref="H5:H7" si="1">G5*D5/40</f>
        <v>45</v>
      </c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5"/>
      <c r="BS5" s="185"/>
      <c r="BT5" s="185"/>
      <c r="BU5" s="185"/>
      <c r="BV5" s="185"/>
      <c r="BW5" s="185"/>
      <c r="BX5" s="185"/>
      <c r="BY5" s="185"/>
      <c r="BZ5" s="185"/>
      <c r="CA5" s="185"/>
      <c r="CB5" s="185"/>
      <c r="CC5" s="185"/>
      <c r="CD5" s="185"/>
      <c r="CE5" s="185"/>
      <c r="CF5" s="185"/>
      <c r="CG5" s="185"/>
      <c r="CH5" s="185"/>
      <c r="CI5" s="185"/>
      <c r="CJ5" s="185"/>
      <c r="CK5" s="185"/>
      <c r="CL5" s="185"/>
      <c r="CM5" s="185"/>
      <c r="CN5" s="185"/>
      <c r="CO5" s="185"/>
      <c r="CP5" s="185"/>
      <c r="CQ5" s="185"/>
      <c r="CR5" s="185"/>
      <c r="CS5" s="185"/>
      <c r="CT5" s="185"/>
      <c r="CU5" s="185"/>
      <c r="CV5" s="185"/>
      <c r="CW5" s="185"/>
      <c r="CX5" s="185"/>
      <c r="CY5" s="185"/>
      <c r="CZ5" s="185"/>
      <c r="DA5" s="185"/>
      <c r="DB5" s="185"/>
      <c r="DC5" s="185"/>
      <c r="DD5" s="185"/>
      <c r="DE5" s="185"/>
      <c r="DF5" s="185"/>
      <c r="DG5" s="185"/>
      <c r="DH5" s="185"/>
      <c r="DI5" s="185"/>
      <c r="DJ5" s="185"/>
      <c r="DK5" s="185"/>
      <c r="DL5" s="185"/>
      <c r="DM5" s="185"/>
      <c r="DN5" s="185"/>
      <c r="DO5" s="185"/>
      <c r="DP5" s="185"/>
      <c r="DQ5" s="185"/>
      <c r="DR5" s="185"/>
      <c r="DS5" s="185"/>
      <c r="DT5" s="185"/>
      <c r="DU5" s="185"/>
      <c r="DV5" s="185"/>
      <c r="DW5" s="185"/>
      <c r="DX5" s="185"/>
      <c r="DY5" s="185"/>
      <c r="DZ5" s="185"/>
      <c r="EA5" s="185"/>
      <c r="EB5" s="185"/>
      <c r="EC5" s="185"/>
      <c r="ED5" s="185"/>
      <c r="EE5" s="185"/>
      <c r="EF5" s="185"/>
      <c r="EG5" s="185"/>
    </row>
    <row r="6" spans="1:137" customFormat="1" ht="15.75" x14ac:dyDescent="0.25">
      <c r="A6" s="174">
        <v>2</v>
      </c>
      <c r="B6" s="180" t="s">
        <v>433</v>
      </c>
      <c r="C6" s="181" t="s">
        <v>434</v>
      </c>
      <c r="D6" s="182">
        <v>40</v>
      </c>
      <c r="E6" s="183">
        <v>45</v>
      </c>
      <c r="F6" s="183">
        <f t="shared" si="0"/>
        <v>1800</v>
      </c>
      <c r="G6" s="167">
        <v>35</v>
      </c>
      <c r="H6" s="184">
        <f t="shared" si="1"/>
        <v>35</v>
      </c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  <c r="CB6" s="185"/>
      <c r="CC6" s="185"/>
      <c r="CD6" s="185"/>
      <c r="CE6" s="185"/>
      <c r="CF6" s="185"/>
      <c r="CG6" s="185"/>
      <c r="CH6" s="185"/>
      <c r="CI6" s="185"/>
      <c r="CJ6" s="185"/>
      <c r="CK6" s="185"/>
      <c r="CL6" s="185"/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C6" s="185"/>
      <c r="DD6" s="185"/>
      <c r="DE6" s="185"/>
      <c r="DF6" s="185"/>
      <c r="DG6" s="185"/>
      <c r="DH6" s="185"/>
      <c r="DI6" s="185"/>
      <c r="DJ6" s="185"/>
      <c r="DK6" s="185"/>
      <c r="DL6" s="185"/>
      <c r="DM6" s="185"/>
      <c r="DN6" s="185"/>
      <c r="DO6" s="185"/>
      <c r="DP6" s="185"/>
      <c r="DQ6" s="185"/>
      <c r="DR6" s="185"/>
      <c r="DS6" s="185"/>
      <c r="DT6" s="185"/>
      <c r="DU6" s="185"/>
      <c r="DV6" s="185"/>
      <c r="DW6" s="185"/>
      <c r="DX6" s="185"/>
      <c r="DY6" s="185"/>
      <c r="DZ6" s="185"/>
      <c r="EA6" s="185"/>
      <c r="EB6" s="185"/>
      <c r="EC6" s="185"/>
      <c r="ED6" s="185"/>
      <c r="EE6" s="185"/>
      <c r="EF6" s="185"/>
      <c r="EG6" s="185"/>
    </row>
    <row r="7" spans="1:137" customFormat="1" ht="15.75" x14ac:dyDescent="0.25">
      <c r="A7" s="174">
        <v>3</v>
      </c>
      <c r="B7" s="180" t="s">
        <v>435</v>
      </c>
      <c r="C7" s="181">
        <v>45</v>
      </c>
      <c r="D7" s="182">
        <v>40</v>
      </c>
      <c r="E7" s="183">
        <v>57</v>
      </c>
      <c r="F7" s="183">
        <f t="shared" si="0"/>
        <v>2280</v>
      </c>
      <c r="G7" s="167">
        <v>35</v>
      </c>
      <c r="H7" s="184">
        <f t="shared" si="1"/>
        <v>35</v>
      </c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85"/>
      <c r="BY7" s="185"/>
      <c r="BZ7" s="185"/>
      <c r="CA7" s="185"/>
      <c r="CB7" s="185"/>
      <c r="CC7" s="185"/>
      <c r="CD7" s="185"/>
      <c r="CE7" s="185"/>
      <c r="CF7" s="185"/>
      <c r="CG7" s="185"/>
      <c r="CH7" s="185"/>
      <c r="CI7" s="185"/>
      <c r="CJ7" s="185"/>
      <c r="CK7" s="185"/>
      <c r="CL7" s="185"/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C7" s="185"/>
      <c r="DD7" s="185"/>
      <c r="DE7" s="185"/>
      <c r="DF7" s="185"/>
      <c r="DG7" s="185"/>
      <c r="DH7" s="185"/>
      <c r="DI7" s="185"/>
      <c r="DJ7" s="185"/>
      <c r="DK7" s="185"/>
      <c r="DL7" s="185"/>
      <c r="DM7" s="185"/>
      <c r="DN7" s="185"/>
      <c r="DO7" s="185"/>
      <c r="DP7" s="185"/>
      <c r="DQ7" s="185"/>
      <c r="DR7" s="185"/>
      <c r="DS7" s="185"/>
      <c r="DT7" s="185"/>
      <c r="DU7" s="185"/>
      <c r="DV7" s="185"/>
      <c r="DW7" s="185"/>
      <c r="DX7" s="185"/>
      <c r="DY7" s="185"/>
      <c r="DZ7" s="185"/>
      <c r="EA7" s="185"/>
      <c r="EB7" s="185"/>
      <c r="EC7" s="185"/>
      <c r="ED7" s="185"/>
      <c r="EE7" s="185"/>
      <c r="EF7" s="185"/>
      <c r="EG7" s="185"/>
    </row>
    <row r="8" spans="1:137" s="179" customFormat="1" ht="16.899999999999999" customHeight="1" x14ac:dyDescent="0.25">
      <c r="A8" s="175"/>
      <c r="B8" s="176" t="s">
        <v>408</v>
      </c>
      <c r="C8" s="176"/>
      <c r="D8" s="177"/>
      <c r="E8" s="175"/>
      <c r="F8" s="175"/>
      <c r="G8" s="167"/>
      <c r="H8" s="184"/>
      <c r="I8" s="84"/>
      <c r="J8"/>
      <c r="K8"/>
      <c r="L8"/>
    </row>
    <row r="9" spans="1:137" customFormat="1" ht="15.75" x14ac:dyDescent="0.25">
      <c r="A9" s="174">
        <v>1</v>
      </c>
      <c r="B9" s="180" t="s">
        <v>418</v>
      </c>
      <c r="C9" s="181">
        <v>35</v>
      </c>
      <c r="D9" s="182">
        <v>40</v>
      </c>
      <c r="E9" s="183">
        <v>26</v>
      </c>
      <c r="F9" s="183">
        <f t="shared" ref="F9" si="2">E9*D9</f>
        <v>1040</v>
      </c>
      <c r="G9" s="167">
        <v>35</v>
      </c>
      <c r="H9" s="184">
        <f>G9*D9/40</f>
        <v>35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</row>
    <row r="10" spans="1:137" s="179" customFormat="1" ht="16.899999999999999" customHeight="1" x14ac:dyDescent="0.25">
      <c r="A10" s="175"/>
      <c r="B10" s="176" t="s">
        <v>409</v>
      </c>
      <c r="C10" s="176"/>
      <c r="D10" s="177"/>
      <c r="E10" s="175"/>
      <c r="F10" s="175"/>
      <c r="G10" s="178"/>
      <c r="H10" s="26"/>
      <c r="I10" s="84"/>
      <c r="J10"/>
      <c r="K10"/>
      <c r="L10"/>
    </row>
    <row r="11" spans="1:137" customFormat="1" ht="15.75" x14ac:dyDescent="0.25">
      <c r="A11" s="174">
        <v>1</v>
      </c>
      <c r="B11" s="180" t="s">
        <v>414</v>
      </c>
      <c r="C11" s="181" t="s">
        <v>415</v>
      </c>
      <c r="D11" s="182">
        <v>30</v>
      </c>
      <c r="E11" s="183">
        <v>51</v>
      </c>
      <c r="F11" s="183">
        <f t="shared" ref="F11:F15" si="3">E11*D11</f>
        <v>1530</v>
      </c>
      <c r="G11" s="167"/>
      <c r="H11" s="184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</row>
    <row r="12" spans="1:137" customFormat="1" ht="15.75" x14ac:dyDescent="0.25">
      <c r="A12" s="174">
        <v>2</v>
      </c>
      <c r="B12" s="180" t="s">
        <v>416</v>
      </c>
      <c r="C12" s="181">
        <v>200</v>
      </c>
      <c r="D12" s="182">
        <v>10</v>
      </c>
      <c r="E12" s="183">
        <v>25</v>
      </c>
      <c r="F12" s="183">
        <f t="shared" si="3"/>
        <v>250</v>
      </c>
      <c r="G12" s="167"/>
      <c r="H12" s="184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5"/>
      <c r="DL12" s="185"/>
      <c r="DM12" s="185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5"/>
      <c r="EC12" s="185"/>
      <c r="ED12" s="185"/>
      <c r="EE12" s="185"/>
      <c r="EF12" s="185"/>
      <c r="EG12" s="185"/>
    </row>
    <row r="13" spans="1:137" customFormat="1" ht="15.75" x14ac:dyDescent="0.25">
      <c r="A13" s="174">
        <v>3</v>
      </c>
      <c r="B13" s="180" t="s">
        <v>417</v>
      </c>
      <c r="C13" s="181">
        <v>10</v>
      </c>
      <c r="D13" s="182">
        <v>10</v>
      </c>
      <c r="E13" s="183">
        <v>8</v>
      </c>
      <c r="F13" s="183">
        <f t="shared" si="3"/>
        <v>80</v>
      </c>
      <c r="G13" s="26"/>
      <c r="H13" s="184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5"/>
      <c r="BN13" s="185"/>
      <c r="BO13" s="185"/>
      <c r="BP13" s="185"/>
      <c r="BQ13" s="185"/>
      <c r="BR13" s="185"/>
      <c r="BS13" s="185"/>
      <c r="BT13" s="185"/>
      <c r="BU13" s="185"/>
      <c r="BV13" s="185"/>
      <c r="BW13" s="185"/>
      <c r="BX13" s="185"/>
      <c r="BY13" s="185"/>
      <c r="BZ13" s="185"/>
      <c r="CA13" s="185"/>
      <c r="CB13" s="185"/>
      <c r="CC13" s="185"/>
      <c r="CD13" s="185"/>
      <c r="CE13" s="185"/>
      <c r="CF13" s="185"/>
      <c r="CG13" s="185"/>
      <c r="CH13" s="185"/>
      <c r="CI13" s="185"/>
      <c r="CJ13" s="185"/>
      <c r="CK13" s="185"/>
      <c r="CL13" s="185"/>
      <c r="CM13" s="185"/>
      <c r="CN13" s="185"/>
      <c r="CO13" s="185"/>
      <c r="CP13" s="185"/>
      <c r="CQ13" s="185"/>
      <c r="CR13" s="185"/>
      <c r="CS13" s="185"/>
      <c r="CT13" s="185"/>
      <c r="CU13" s="185"/>
      <c r="CV13" s="185"/>
      <c r="CW13" s="185"/>
      <c r="CX13" s="185"/>
      <c r="CY13" s="185"/>
      <c r="CZ13" s="185"/>
      <c r="DA13" s="185"/>
      <c r="DB13" s="185"/>
      <c r="DC13" s="185"/>
      <c r="DD13" s="185"/>
      <c r="DE13" s="185"/>
      <c r="DF13" s="185"/>
      <c r="DG13" s="185"/>
      <c r="DH13" s="185"/>
      <c r="DI13" s="185"/>
      <c r="DJ13" s="185"/>
      <c r="DK13" s="185"/>
      <c r="DL13" s="185"/>
      <c r="DM13" s="185"/>
      <c r="DN13" s="185"/>
      <c r="DO13" s="185"/>
      <c r="DP13" s="185"/>
      <c r="DQ13" s="185"/>
      <c r="DR13" s="185"/>
      <c r="DS13" s="185"/>
      <c r="DT13" s="185"/>
      <c r="DU13" s="185"/>
      <c r="DV13" s="185"/>
      <c r="DW13" s="185"/>
      <c r="DX13" s="185"/>
      <c r="DY13" s="185"/>
      <c r="DZ13" s="185"/>
      <c r="EA13" s="185"/>
      <c r="EB13" s="185"/>
      <c r="EC13" s="185"/>
      <c r="ED13" s="185"/>
      <c r="EE13" s="185"/>
      <c r="EF13" s="185"/>
      <c r="EG13" s="185"/>
    </row>
    <row r="14" spans="1:137" customFormat="1" ht="15.75" x14ac:dyDescent="0.25">
      <c r="A14" s="174">
        <v>4</v>
      </c>
      <c r="B14" s="180" t="s">
        <v>438</v>
      </c>
      <c r="C14" s="181">
        <v>500</v>
      </c>
      <c r="D14" s="182">
        <v>40</v>
      </c>
      <c r="E14" s="183">
        <v>32</v>
      </c>
      <c r="F14" s="183">
        <f t="shared" ref="F14" si="4">E14*D14</f>
        <v>1280</v>
      </c>
      <c r="G14" s="26"/>
      <c r="H14" s="184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185"/>
      <c r="ED14" s="185"/>
      <c r="EE14" s="185"/>
      <c r="EF14" s="185"/>
      <c r="EG14" s="185"/>
    </row>
    <row r="15" spans="1:137" customFormat="1" ht="15.75" x14ac:dyDescent="0.25">
      <c r="A15" s="174">
        <v>5</v>
      </c>
      <c r="B15" s="180" t="s">
        <v>421</v>
      </c>
      <c r="C15" s="181">
        <v>500</v>
      </c>
      <c r="D15" s="182">
        <v>40</v>
      </c>
      <c r="E15" s="183">
        <v>32</v>
      </c>
      <c r="F15" s="183">
        <f t="shared" si="3"/>
        <v>1280</v>
      </c>
      <c r="G15" s="26"/>
      <c r="H15" s="184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/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185"/>
      <c r="ED15" s="185"/>
      <c r="EE15" s="185"/>
      <c r="EF15" s="185"/>
      <c r="EG15" s="185"/>
    </row>
    <row r="16" spans="1:137" customFormat="1" ht="15" x14ac:dyDescent="0.25">
      <c r="A16" s="159"/>
      <c r="B16" s="179"/>
      <c r="C16" s="186"/>
      <c r="D16" s="187"/>
      <c r="E16" s="188"/>
      <c r="F16" s="189"/>
      <c r="G16" s="27"/>
      <c r="H16" s="25" t="s">
        <v>1</v>
      </c>
    </row>
    <row r="17" spans="1:12" customFormat="1" ht="15" x14ac:dyDescent="0.25">
      <c r="B17" s="25"/>
      <c r="D17" s="26"/>
      <c r="E17" s="34" t="s">
        <v>23</v>
      </c>
      <c r="F17" s="35">
        <f>SUM(F5:F15)</f>
        <v>11820</v>
      </c>
      <c r="G17" s="27"/>
      <c r="H17" s="87">
        <f>SUM(H5:H9)</f>
        <v>150</v>
      </c>
      <c r="I17" s="88" t="s">
        <v>68</v>
      </c>
    </row>
    <row r="18" spans="1:12" customFormat="1" ht="15" x14ac:dyDescent="0.25">
      <c r="B18" s="25"/>
      <c r="D18" s="26"/>
      <c r="E18" s="34"/>
      <c r="F18" s="35"/>
      <c r="G18" s="89"/>
    </row>
    <row r="19" spans="1:12" customFormat="1" ht="15" x14ac:dyDescent="0.25">
      <c r="B19" s="25"/>
      <c r="D19" s="27"/>
      <c r="E19" s="76" t="s">
        <v>430</v>
      </c>
      <c r="F19" s="36">
        <f>F17*10%</f>
        <v>1182</v>
      </c>
      <c r="G19" s="27"/>
      <c r="H19" s="87">
        <f>F21/40</f>
        <v>265.95</v>
      </c>
      <c r="I19" s="31" t="s">
        <v>69</v>
      </c>
    </row>
    <row r="20" spans="1:12" customFormat="1" ht="15" x14ac:dyDescent="0.25">
      <c r="B20" s="25"/>
      <c r="D20" s="27"/>
      <c r="E20" s="76"/>
      <c r="F20" s="36"/>
      <c r="G20" s="89"/>
    </row>
    <row r="21" spans="1:12" customFormat="1" ht="15" x14ac:dyDescent="0.25">
      <c r="E21" s="34" t="s">
        <v>431</v>
      </c>
      <c r="F21" s="35">
        <f>F17-F19</f>
        <v>10638</v>
      </c>
      <c r="G21" s="26"/>
      <c r="H21" s="25"/>
      <c r="I21" s="25"/>
      <c r="J21" s="25"/>
    </row>
    <row r="22" spans="1:12" customFormat="1" ht="15" x14ac:dyDescent="0.25">
      <c r="B22" s="25"/>
      <c r="D22" s="27"/>
      <c r="E22" s="34"/>
      <c r="F22" s="34"/>
      <c r="G22" s="89"/>
    </row>
    <row r="23" spans="1:12" customFormat="1" ht="15" x14ac:dyDescent="0.25">
      <c r="B23" s="25"/>
      <c r="D23" s="27"/>
      <c r="E23" s="76"/>
      <c r="F23" s="36"/>
      <c r="G23" s="89"/>
    </row>
    <row r="24" spans="1:12" customFormat="1" ht="15" x14ac:dyDescent="0.25">
      <c r="B24" s="25"/>
      <c r="D24" s="27"/>
      <c r="E24" s="76"/>
      <c r="F24" s="36"/>
      <c r="G24" s="89"/>
    </row>
    <row r="25" spans="1:12" customFormat="1" ht="15" x14ac:dyDescent="0.25">
      <c r="B25" s="25"/>
      <c r="D25" s="27"/>
      <c r="E25" s="76"/>
      <c r="F25" s="36"/>
      <c r="G25" s="89"/>
    </row>
    <row r="26" spans="1:12" customFormat="1" ht="15.75" thickBot="1" x14ac:dyDescent="0.3">
      <c r="B26" s="25"/>
      <c r="D26" s="27"/>
      <c r="E26" s="76"/>
      <c r="F26" s="36"/>
      <c r="G26" s="89"/>
    </row>
    <row r="27" spans="1:12" customFormat="1" ht="24" thickBot="1" x14ac:dyDescent="0.3">
      <c r="A27" s="58"/>
      <c r="B27" s="59" t="s">
        <v>24</v>
      </c>
      <c r="C27" s="60"/>
      <c r="D27" s="61"/>
      <c r="E27" s="77"/>
      <c r="F27" s="62"/>
      <c r="G27" s="26"/>
      <c r="H27" s="86"/>
      <c r="I27" s="86"/>
      <c r="J27" s="86"/>
      <c r="K27" s="86"/>
    </row>
    <row r="28" spans="1:12" s="63" customFormat="1" ht="16.899999999999999" customHeight="1" x14ac:dyDescent="0.25">
      <c r="A28" s="65">
        <v>1</v>
      </c>
      <c r="B28" s="193" t="s">
        <v>425</v>
      </c>
      <c r="C28" s="67"/>
      <c r="D28" s="68"/>
      <c r="E28" s="78"/>
      <c r="F28" s="69">
        <f>F21</f>
        <v>10638</v>
      </c>
      <c r="G28"/>
      <c r="H28"/>
      <c r="I28"/>
      <c r="J28"/>
      <c r="K28"/>
      <c r="L28"/>
    </row>
    <row r="29" spans="1:12" customFormat="1" ht="16.899999999999999" customHeight="1" x14ac:dyDescent="0.25">
      <c r="A29" s="65">
        <v>2</v>
      </c>
      <c r="B29" s="31" t="s">
        <v>66</v>
      </c>
      <c r="C29" s="32"/>
      <c r="D29" s="57"/>
      <c r="E29" s="75"/>
      <c r="F29" s="33">
        <f>ОБЛАДНАННЯ!G331</f>
        <v>1378</v>
      </c>
    </row>
    <row r="30" spans="1:12" customFormat="1" ht="16.899999999999999" customHeight="1" x14ac:dyDescent="0.25">
      <c r="A30" s="65">
        <v>3</v>
      </c>
      <c r="B30" s="31" t="s">
        <v>441</v>
      </c>
      <c r="C30" s="32"/>
      <c r="D30" s="57">
        <v>5</v>
      </c>
      <c r="E30" s="75">
        <v>350</v>
      </c>
      <c r="F30" s="33">
        <f>E30*D30</f>
        <v>1750</v>
      </c>
    </row>
    <row r="31" spans="1:12" s="63" customFormat="1" ht="16.899999999999999" customHeight="1" x14ac:dyDescent="0.25">
      <c r="A31" s="65">
        <v>4</v>
      </c>
      <c r="B31" s="85" t="s">
        <v>25</v>
      </c>
      <c r="C31" s="67"/>
      <c r="D31" s="68"/>
      <c r="E31" s="78"/>
      <c r="F31" s="194">
        <f>SUM('КОМЕРЦІЙНА ПРОПОЗИЦІЯ'!B20:B23)</f>
        <v>4800</v>
      </c>
      <c r="G31"/>
      <c r="H31"/>
      <c r="I31"/>
      <c r="J31"/>
      <c r="K31"/>
      <c r="L31"/>
    </row>
    <row r="32" spans="1:12" s="63" customFormat="1" ht="16.899999999999999" customHeight="1" x14ac:dyDescent="0.25">
      <c r="A32" s="65">
        <v>5</v>
      </c>
      <c r="B32" s="66" t="s">
        <v>26</v>
      </c>
      <c r="C32" s="67"/>
      <c r="D32" s="68"/>
      <c r="E32" s="78"/>
      <c r="F32" s="69">
        <f>'КОМЕРЦІЙНА ПРОПОЗИЦІЯ'!B25</f>
        <v>2500</v>
      </c>
      <c r="G32"/>
      <c r="H32"/>
      <c r="I32"/>
      <c r="J32"/>
      <c r="K32"/>
      <c r="L32"/>
    </row>
    <row r="33" spans="1:12" s="64" customFormat="1" ht="16.899999999999999" customHeight="1" x14ac:dyDescent="0.25">
      <c r="A33" s="65">
        <v>6</v>
      </c>
      <c r="B33" s="70" t="s">
        <v>65</v>
      </c>
      <c r="C33" s="71"/>
      <c r="D33" s="72"/>
      <c r="E33" s="79"/>
      <c r="F33" s="73">
        <f>SUM(F28:F32)</f>
        <v>21066</v>
      </c>
      <c r="G33"/>
      <c r="H33"/>
      <c r="I33"/>
      <c r="J33"/>
      <c r="K33"/>
      <c r="L33"/>
    </row>
    <row r="34" spans="1:12" customFormat="1" ht="15" x14ac:dyDescent="0.25">
      <c r="B34" s="25"/>
      <c r="D34" s="26"/>
      <c r="E34" s="80"/>
      <c r="F34" s="25"/>
      <c r="G34" s="26"/>
    </row>
    <row r="35" spans="1:12" customFormat="1" ht="15.75" x14ac:dyDescent="0.25">
      <c r="B35" s="25"/>
      <c r="D35" s="27"/>
      <c r="E35" s="74"/>
      <c r="F35" s="191">
        <f>F39/40</f>
        <v>558.24900000000002</v>
      </c>
      <c r="G35" s="31" t="s">
        <v>69</v>
      </c>
      <c r="H35" s="86"/>
    </row>
    <row r="36" spans="1:12" customFormat="1" ht="15.75" x14ac:dyDescent="0.25">
      <c r="B36" s="81"/>
      <c r="C36" s="81"/>
      <c r="D36" s="27"/>
      <c r="E36" s="82"/>
      <c r="F36" s="86"/>
      <c r="G36" s="86"/>
      <c r="H36" s="86"/>
    </row>
    <row r="37" spans="1:12" customFormat="1" ht="15.75" customHeight="1" x14ac:dyDescent="0.25">
      <c r="B37" s="81"/>
      <c r="C37" s="81"/>
      <c r="D37" s="26"/>
      <c r="E37" s="163" t="s">
        <v>410</v>
      </c>
      <c r="F37" s="164">
        <f>F33*6%</f>
        <v>1263.96</v>
      </c>
      <c r="G37" s="86"/>
      <c r="H37" s="86"/>
    </row>
    <row r="38" spans="1:12" customFormat="1" ht="15.75" x14ac:dyDescent="0.25">
      <c r="B38" s="81"/>
      <c r="C38" s="81"/>
      <c r="D38" s="27"/>
      <c r="E38" s="21"/>
      <c r="F38" s="21"/>
      <c r="G38" s="86"/>
      <c r="H38" s="86"/>
    </row>
    <row r="39" spans="1:12" customFormat="1" ht="37.9" customHeight="1" x14ac:dyDescent="0.3">
      <c r="B39" s="81"/>
      <c r="C39" s="81"/>
      <c r="D39" s="26"/>
      <c r="E39" s="165" t="s">
        <v>411</v>
      </c>
      <c r="F39" s="166">
        <f>F33+F37</f>
        <v>22329.96</v>
      </c>
      <c r="G39" s="86"/>
      <c r="H39" s="86"/>
    </row>
    <row r="40" spans="1:12" customFormat="1" ht="15.75" x14ac:dyDescent="0.25">
      <c r="B40" s="81"/>
      <c r="C40" s="81"/>
      <c r="D40" s="27"/>
      <c r="E40" s="82"/>
      <c r="F40" s="86"/>
      <c r="G40" s="86"/>
      <c r="H40" s="86"/>
    </row>
    <row r="41" spans="1:12" customFormat="1" ht="15.75" customHeight="1" thickBot="1" x14ac:dyDescent="0.3">
      <c r="B41" s="81"/>
      <c r="C41" s="81"/>
      <c r="D41" s="26"/>
      <c r="E41" s="81"/>
      <c r="F41" s="86"/>
      <c r="G41" s="86"/>
      <c r="H41" s="86"/>
    </row>
    <row r="42" spans="1:12" customFormat="1" ht="18.75" x14ac:dyDescent="0.25">
      <c r="A42" s="90"/>
      <c r="B42" s="91" t="s">
        <v>70</v>
      </c>
      <c r="C42" s="92"/>
      <c r="D42" s="92"/>
      <c r="E42" s="93"/>
      <c r="G42" s="26"/>
    </row>
    <row r="43" spans="1:12" customFormat="1" ht="18.75" x14ac:dyDescent="0.25">
      <c r="A43" s="94"/>
      <c r="B43" s="95" t="s">
        <v>71</v>
      </c>
      <c r="C43" s="21"/>
      <c r="D43" s="21"/>
      <c r="E43" s="96"/>
      <c r="G43" s="26"/>
    </row>
    <row r="44" spans="1:12" customFormat="1" ht="18.75" x14ac:dyDescent="0.25">
      <c r="A44" s="94"/>
      <c r="B44" s="95" t="s">
        <v>72</v>
      </c>
      <c r="C44" s="21"/>
      <c r="D44" s="21"/>
      <c r="E44" s="96"/>
      <c r="G44" s="26"/>
    </row>
    <row r="45" spans="1:12" customFormat="1" ht="18.75" x14ac:dyDescent="0.25">
      <c r="A45" s="94"/>
      <c r="B45" s="95" t="s">
        <v>73</v>
      </c>
      <c r="C45" s="21"/>
      <c r="D45" s="21"/>
      <c r="E45" s="96"/>
      <c r="G45" s="26"/>
    </row>
    <row r="46" spans="1:12" customFormat="1" ht="18.75" x14ac:dyDescent="0.25">
      <c r="A46" s="94"/>
      <c r="B46" s="95" t="s">
        <v>74</v>
      </c>
      <c r="C46" s="21"/>
      <c r="D46" s="21"/>
      <c r="E46" s="96"/>
      <c r="G46" s="26"/>
    </row>
    <row r="47" spans="1:12" customFormat="1" ht="18.75" x14ac:dyDescent="0.25">
      <c r="A47" s="94"/>
      <c r="B47" s="95" t="s">
        <v>75</v>
      </c>
      <c r="C47" s="21"/>
      <c r="D47" s="21"/>
      <c r="E47" s="96"/>
      <c r="G47" s="26"/>
    </row>
    <row r="48" spans="1:12" customFormat="1" ht="18.75" x14ac:dyDescent="0.25">
      <c r="A48" s="94"/>
      <c r="B48" s="95" t="s">
        <v>76</v>
      </c>
      <c r="C48" s="21"/>
      <c r="D48" s="21"/>
      <c r="E48" s="96"/>
      <c r="G48" s="26"/>
    </row>
    <row r="49" spans="1:7" customFormat="1" ht="18.75" x14ac:dyDescent="0.25">
      <c r="A49" s="94"/>
      <c r="B49" s="95"/>
      <c r="C49" s="21"/>
      <c r="D49" s="21"/>
      <c r="E49" s="96"/>
      <c r="G49" s="26"/>
    </row>
    <row r="50" spans="1:7" customFormat="1" ht="18.75" x14ac:dyDescent="0.25">
      <c r="A50" s="94"/>
      <c r="B50" s="95" t="s">
        <v>77</v>
      </c>
      <c r="C50" s="21"/>
      <c r="D50" s="21"/>
      <c r="E50" s="96"/>
      <c r="G50" s="26"/>
    </row>
    <row r="51" spans="1:7" customFormat="1" ht="18.75" x14ac:dyDescent="0.25">
      <c r="A51" s="94"/>
      <c r="B51" s="21"/>
      <c r="C51" s="95"/>
      <c r="D51" s="21"/>
      <c r="E51" s="96"/>
      <c r="G51" s="26"/>
    </row>
    <row r="52" spans="1:7" customFormat="1" ht="18.75" x14ac:dyDescent="0.3">
      <c r="A52" s="160" t="s">
        <v>78</v>
      </c>
      <c r="B52" s="161" t="s">
        <v>79</v>
      </c>
      <c r="C52" s="25"/>
      <c r="D52" s="21"/>
      <c r="E52" s="96"/>
      <c r="G52" s="26"/>
    </row>
    <row r="53" spans="1:7" customFormat="1" ht="18.75" x14ac:dyDescent="0.3">
      <c r="A53" s="160" t="s">
        <v>80</v>
      </c>
      <c r="B53" s="161" t="s">
        <v>81</v>
      </c>
      <c r="C53" s="25"/>
      <c r="D53" s="21"/>
      <c r="E53" s="96"/>
      <c r="G53" s="26"/>
    </row>
    <row r="54" spans="1:7" customFormat="1" ht="56.25" x14ac:dyDescent="0.3">
      <c r="A54" s="160" t="s">
        <v>82</v>
      </c>
      <c r="B54" s="162" t="s">
        <v>405</v>
      </c>
      <c r="C54" s="25"/>
      <c r="D54" s="21"/>
      <c r="E54" s="96"/>
      <c r="G54" s="26"/>
    </row>
    <row r="55" spans="1:7" customFormat="1" ht="18.75" x14ac:dyDescent="0.3">
      <c r="A55" s="160" t="s">
        <v>84</v>
      </c>
      <c r="B55" s="161" t="s">
        <v>406</v>
      </c>
      <c r="C55" s="25"/>
      <c r="D55" s="21"/>
      <c r="E55" s="96"/>
      <c r="G55" s="26"/>
    </row>
    <row r="56" spans="1:7" customFormat="1" ht="18.75" x14ac:dyDescent="0.3">
      <c r="A56" s="160" t="s">
        <v>401</v>
      </c>
      <c r="B56" s="161" t="s">
        <v>83</v>
      </c>
      <c r="C56" s="25"/>
      <c r="D56" s="21"/>
      <c r="E56" s="96"/>
      <c r="G56" s="26"/>
    </row>
    <row r="57" spans="1:7" customFormat="1" ht="18.75" x14ac:dyDescent="0.3">
      <c r="A57" s="160" t="s">
        <v>407</v>
      </c>
      <c r="B57" s="161" t="s">
        <v>402</v>
      </c>
      <c r="C57" s="21"/>
      <c r="D57" s="21"/>
      <c r="E57" s="96"/>
      <c r="G57" s="26"/>
    </row>
    <row r="58" spans="1:7" customFormat="1" ht="15" x14ac:dyDescent="0.25">
      <c r="A58" s="94"/>
      <c r="B58" s="21"/>
      <c r="C58" s="21"/>
      <c r="D58" s="21"/>
      <c r="E58" s="96"/>
      <c r="G58" s="26"/>
    </row>
    <row r="59" spans="1:7" customFormat="1" ht="15" x14ac:dyDescent="0.25">
      <c r="A59" s="94"/>
      <c r="B59" s="21"/>
      <c r="C59" s="21"/>
      <c r="D59" s="21"/>
      <c r="E59" s="96"/>
      <c r="G59" s="26"/>
    </row>
    <row r="60" spans="1:7" customFormat="1" ht="20.25" x14ac:dyDescent="0.25">
      <c r="A60" s="94"/>
      <c r="B60" s="97" t="s">
        <v>85</v>
      </c>
      <c r="C60" s="21"/>
      <c r="D60" s="21"/>
      <c r="E60" s="96"/>
      <c r="G60" s="26"/>
    </row>
    <row r="61" spans="1:7" customFormat="1" ht="20.25" x14ac:dyDescent="0.25">
      <c r="A61" s="94"/>
      <c r="B61" s="97" t="s">
        <v>86</v>
      </c>
      <c r="C61" s="97"/>
      <c r="D61" s="21"/>
      <c r="E61" s="96"/>
      <c r="G61" s="26"/>
    </row>
    <row r="62" spans="1:7" customFormat="1" ht="20.25" x14ac:dyDescent="0.25">
      <c r="A62" s="94"/>
      <c r="B62" s="97" t="s">
        <v>87</v>
      </c>
      <c r="C62" s="97"/>
      <c r="D62" s="21"/>
      <c r="E62" s="96"/>
      <c r="G62" s="26"/>
    </row>
    <row r="63" spans="1:7" customFormat="1" ht="20.25" x14ac:dyDescent="0.25">
      <c r="A63" s="94"/>
      <c r="B63" s="97" t="s">
        <v>88</v>
      </c>
      <c r="C63" s="97"/>
      <c r="D63" s="21"/>
      <c r="E63" s="96"/>
      <c r="G63" s="26"/>
    </row>
    <row r="64" spans="1:7" customFormat="1" ht="20.25" x14ac:dyDescent="0.25">
      <c r="A64" s="94"/>
      <c r="B64" s="98" t="s">
        <v>89</v>
      </c>
      <c r="C64" s="97"/>
      <c r="D64" s="21"/>
      <c r="E64" s="96"/>
      <c r="G64" s="26"/>
    </row>
    <row r="65" spans="1:7" customFormat="1" ht="21" thickBot="1" x14ac:dyDescent="0.3">
      <c r="A65" s="99"/>
      <c r="B65" s="100"/>
      <c r="C65" s="101"/>
      <c r="D65" s="100"/>
      <c r="E65" s="102"/>
      <c r="G65" s="26"/>
    </row>
    <row r="66" spans="1:7" customFormat="1" ht="15" x14ac:dyDescent="0.25">
      <c r="B66" s="25"/>
      <c r="D66" s="26"/>
      <c r="E66" s="81"/>
      <c r="G66" s="26"/>
    </row>
    <row r="67" spans="1:7" customFormat="1" ht="15" x14ac:dyDescent="0.25">
      <c r="B67" s="25"/>
      <c r="D67" s="26"/>
      <c r="E67" s="81"/>
      <c r="G67" s="26"/>
    </row>
    <row r="68" spans="1:7" customFormat="1" ht="15" x14ac:dyDescent="0.25">
      <c r="B68" s="25"/>
      <c r="D68" s="26"/>
      <c r="E68" s="81"/>
      <c r="G68" s="26"/>
    </row>
    <row r="69" spans="1:7" customFormat="1" ht="15" x14ac:dyDescent="0.25">
      <c r="B69" s="25"/>
      <c r="D69" s="26"/>
      <c r="E69" s="81"/>
      <c r="G69" s="26"/>
    </row>
    <row r="70" spans="1:7" customFormat="1" ht="15" x14ac:dyDescent="0.25">
      <c r="B70" s="25"/>
      <c r="D70" s="26"/>
      <c r="E70" s="81"/>
      <c r="G70" s="26"/>
    </row>
    <row r="71" spans="1:7" customFormat="1" ht="15" x14ac:dyDescent="0.25">
      <c r="B71" s="25"/>
      <c r="D71" s="26"/>
      <c r="E71" s="81"/>
      <c r="G71" s="26"/>
    </row>
    <row r="72" spans="1:7" customFormat="1" ht="15" x14ac:dyDescent="0.25">
      <c r="D72" s="26"/>
      <c r="E72" s="81"/>
      <c r="G72" s="26"/>
    </row>
    <row r="73" spans="1:7" customFormat="1" ht="15" x14ac:dyDescent="0.25">
      <c r="D73" s="26"/>
      <c r="E73" s="81"/>
      <c r="G73" s="26"/>
    </row>
    <row r="74" spans="1:7" customFormat="1" ht="15" x14ac:dyDescent="0.25">
      <c r="D74" s="26"/>
      <c r="E74" s="81"/>
      <c r="G74" s="26"/>
    </row>
    <row r="75" spans="1:7" customFormat="1" ht="15" x14ac:dyDescent="0.25">
      <c r="D75" s="26"/>
      <c r="E75" s="81"/>
      <c r="G75" s="26"/>
    </row>
    <row r="76" spans="1:7" customFormat="1" ht="15" x14ac:dyDescent="0.25">
      <c r="D76" s="26"/>
      <c r="E76" s="81"/>
      <c r="G76" s="26"/>
    </row>
    <row r="77" spans="1:7" customFormat="1" ht="15" x14ac:dyDescent="0.25">
      <c r="D77" s="26"/>
      <c r="E77" s="81"/>
      <c r="G77" s="26"/>
    </row>
    <row r="78" spans="1:7" customFormat="1" ht="15" x14ac:dyDescent="0.25">
      <c r="D78" s="26"/>
      <c r="E78" s="81"/>
      <c r="G78" s="26"/>
    </row>
    <row r="79" spans="1:7" customFormat="1" ht="15" x14ac:dyDescent="0.25">
      <c r="D79" s="26"/>
      <c r="E79" s="81"/>
      <c r="G79" s="26"/>
    </row>
    <row r="80" spans="1:7" customFormat="1" ht="15" x14ac:dyDescent="0.25">
      <c r="D80" s="26"/>
      <c r="E80" s="81"/>
      <c r="G80" s="26"/>
    </row>
    <row r="81" spans="4:7" customFormat="1" ht="15" x14ac:dyDescent="0.25">
      <c r="D81" s="26"/>
      <c r="E81" s="81"/>
      <c r="G81" s="26"/>
    </row>
    <row r="82" spans="4:7" customFormat="1" ht="15" x14ac:dyDescent="0.25">
      <c r="D82" s="26"/>
      <c r="E82" s="81"/>
      <c r="G82" s="26"/>
    </row>
    <row r="83" spans="4:7" customFormat="1" ht="15" x14ac:dyDescent="0.25">
      <c r="D83" s="26"/>
      <c r="E83" s="81"/>
      <c r="G83" s="26"/>
    </row>
    <row r="84" spans="4:7" customFormat="1" ht="15" x14ac:dyDescent="0.25">
      <c r="D84" s="26"/>
      <c r="E84" s="81"/>
      <c r="G84" s="26"/>
    </row>
    <row r="85" spans="4:7" customFormat="1" ht="15" x14ac:dyDescent="0.25">
      <c r="D85" s="26"/>
      <c r="E85" s="81"/>
      <c r="G85" s="26"/>
    </row>
    <row r="86" spans="4:7" customFormat="1" ht="15" x14ac:dyDescent="0.25">
      <c r="D86" s="26"/>
      <c r="E86" s="81"/>
      <c r="G86" s="26"/>
    </row>
    <row r="87" spans="4:7" customFormat="1" ht="15" x14ac:dyDescent="0.25">
      <c r="D87" s="26"/>
      <c r="E87" s="81"/>
      <c r="G87" s="26"/>
    </row>
    <row r="88" spans="4:7" customFormat="1" ht="15" x14ac:dyDescent="0.25">
      <c r="D88" s="26"/>
      <c r="E88" s="81"/>
      <c r="G88" s="26"/>
    </row>
    <row r="89" spans="4:7" customFormat="1" ht="15" x14ac:dyDescent="0.25">
      <c r="D89" s="26"/>
      <c r="E89" s="81"/>
      <c r="G89" s="26"/>
    </row>
    <row r="90" spans="4:7" customFormat="1" ht="15" x14ac:dyDescent="0.25">
      <c r="D90" s="26"/>
      <c r="E90" s="81"/>
      <c r="G90" s="26"/>
    </row>
    <row r="91" spans="4:7" customFormat="1" ht="15" x14ac:dyDescent="0.25">
      <c r="D91" s="26"/>
      <c r="E91" s="81"/>
      <c r="G91" s="26"/>
    </row>
    <row r="92" spans="4:7" customFormat="1" ht="15" x14ac:dyDescent="0.25">
      <c r="D92" s="26"/>
      <c r="E92" s="81"/>
      <c r="G92" s="26"/>
    </row>
    <row r="93" spans="4:7" customFormat="1" ht="15" x14ac:dyDescent="0.25">
      <c r="D93" s="26"/>
      <c r="E93" s="81"/>
      <c r="G93" s="26"/>
    </row>
    <row r="94" spans="4:7" customFormat="1" ht="15" x14ac:dyDescent="0.25">
      <c r="D94" s="26"/>
      <c r="E94" s="81"/>
      <c r="G94" s="26"/>
    </row>
    <row r="95" spans="4:7" customFormat="1" ht="15" x14ac:dyDescent="0.25">
      <c r="D95" s="26"/>
      <c r="E95" s="81"/>
      <c r="G95" s="26"/>
    </row>
    <row r="96" spans="4:7" customFormat="1" ht="15" x14ac:dyDescent="0.25">
      <c r="D96" s="26"/>
      <c r="E96" s="81"/>
      <c r="G96" s="26"/>
    </row>
    <row r="97" spans="4:7" customFormat="1" ht="15" x14ac:dyDescent="0.25">
      <c r="D97" s="26"/>
      <c r="E97" s="81"/>
      <c r="G97" s="26"/>
    </row>
    <row r="98" spans="4:7" customFormat="1" ht="15" x14ac:dyDescent="0.25">
      <c r="D98" s="26"/>
      <c r="E98" s="81"/>
      <c r="G98" s="26"/>
    </row>
    <row r="99" spans="4:7" customFormat="1" ht="15" x14ac:dyDescent="0.25">
      <c r="D99" s="26"/>
      <c r="E99" s="81"/>
      <c r="G99" s="26"/>
    </row>
    <row r="100" spans="4:7" customFormat="1" ht="15" x14ac:dyDescent="0.25">
      <c r="D100" s="26"/>
      <c r="E100" s="81"/>
      <c r="G100" s="26"/>
    </row>
    <row r="101" spans="4:7" customFormat="1" ht="15" x14ac:dyDescent="0.25">
      <c r="D101" s="26"/>
      <c r="E101" s="81"/>
      <c r="G101" s="26"/>
    </row>
    <row r="102" spans="4:7" customFormat="1" ht="15" x14ac:dyDescent="0.25">
      <c r="D102" s="26"/>
      <c r="E102" s="81"/>
      <c r="G102" s="26"/>
    </row>
    <row r="103" spans="4:7" customFormat="1" ht="15" x14ac:dyDescent="0.25">
      <c r="D103" s="26"/>
      <c r="E103" s="81"/>
      <c r="G103" s="26"/>
    </row>
    <row r="104" spans="4:7" customFormat="1" ht="15" x14ac:dyDescent="0.25">
      <c r="D104" s="26"/>
      <c r="E104" s="81"/>
      <c r="G104" s="26"/>
    </row>
    <row r="105" spans="4:7" customFormat="1" ht="15" x14ac:dyDescent="0.25">
      <c r="D105" s="26"/>
      <c r="E105" s="81"/>
      <c r="G105" s="26"/>
    </row>
    <row r="106" spans="4:7" customFormat="1" ht="15" x14ac:dyDescent="0.25">
      <c r="D106" s="26"/>
      <c r="E106" s="81"/>
      <c r="G106" s="26"/>
    </row>
    <row r="107" spans="4:7" customFormat="1" ht="15" x14ac:dyDescent="0.25">
      <c r="D107" s="26"/>
      <c r="E107" s="81"/>
      <c r="G107" s="26"/>
    </row>
    <row r="108" spans="4:7" customFormat="1" ht="15" x14ac:dyDescent="0.25">
      <c r="D108" s="26"/>
      <c r="E108" s="81"/>
      <c r="G108" s="26"/>
    </row>
    <row r="109" spans="4:7" customFormat="1" ht="15" x14ac:dyDescent="0.25">
      <c r="D109" s="26"/>
      <c r="E109" s="81"/>
      <c r="G109" s="26"/>
    </row>
    <row r="110" spans="4:7" customFormat="1" ht="15" x14ac:dyDescent="0.25">
      <c r="D110" s="26"/>
      <c r="E110" s="81"/>
      <c r="G110" s="26"/>
    </row>
    <row r="111" spans="4:7" customFormat="1" ht="15" x14ac:dyDescent="0.25">
      <c r="D111" s="26"/>
      <c r="E111" s="81"/>
      <c r="G111" s="26"/>
    </row>
    <row r="112" spans="4:7" customFormat="1" ht="15" x14ac:dyDescent="0.25">
      <c r="D112" s="26"/>
      <c r="E112" s="81"/>
      <c r="G112" s="26"/>
    </row>
    <row r="113" spans="4:7" customFormat="1" ht="15" x14ac:dyDescent="0.25">
      <c r="D113" s="26"/>
      <c r="E113" s="81"/>
      <c r="G113" s="26"/>
    </row>
    <row r="114" spans="4:7" customFormat="1" ht="15" x14ac:dyDescent="0.25">
      <c r="D114" s="26"/>
      <c r="E114" s="81"/>
      <c r="G114" s="26"/>
    </row>
    <row r="115" spans="4:7" customFormat="1" ht="15" x14ac:dyDescent="0.25">
      <c r="D115" s="26"/>
      <c r="E115" s="81"/>
      <c r="G115" s="26"/>
    </row>
    <row r="116" spans="4:7" customFormat="1" ht="15" x14ac:dyDescent="0.25">
      <c r="D116" s="26"/>
      <c r="E116" s="81"/>
      <c r="G116" s="26"/>
    </row>
    <row r="117" spans="4:7" customFormat="1" ht="15" x14ac:dyDescent="0.25">
      <c r="D117" s="26"/>
      <c r="E117" s="81"/>
      <c r="G117" s="26"/>
    </row>
    <row r="118" spans="4:7" customFormat="1" ht="15" x14ac:dyDescent="0.25">
      <c r="D118" s="26"/>
      <c r="E118" s="81"/>
      <c r="G118" s="26"/>
    </row>
    <row r="119" spans="4:7" customFormat="1" ht="15" x14ac:dyDescent="0.25">
      <c r="D119" s="26"/>
      <c r="E119" s="81"/>
      <c r="G119" s="26"/>
    </row>
    <row r="120" spans="4:7" customFormat="1" ht="15" x14ac:dyDescent="0.25">
      <c r="D120" s="26"/>
      <c r="E120" s="81"/>
      <c r="G120" s="26"/>
    </row>
    <row r="121" spans="4:7" customFormat="1" ht="15" x14ac:dyDescent="0.25">
      <c r="D121" s="26"/>
      <c r="E121" s="81"/>
      <c r="G121" s="26"/>
    </row>
    <row r="122" spans="4:7" customFormat="1" ht="15" x14ac:dyDescent="0.25">
      <c r="D122" s="26"/>
      <c r="E122" s="81"/>
      <c r="G122" s="26"/>
    </row>
    <row r="123" spans="4:7" customFormat="1" ht="15" x14ac:dyDescent="0.25">
      <c r="D123" s="26"/>
      <c r="E123" s="81"/>
      <c r="G123" s="26"/>
    </row>
    <row r="124" spans="4:7" customFormat="1" ht="15" x14ac:dyDescent="0.25">
      <c r="D124" s="26"/>
      <c r="E124" s="81"/>
      <c r="G124" s="26"/>
    </row>
    <row r="125" spans="4:7" customFormat="1" ht="15" x14ac:dyDescent="0.25">
      <c r="D125" s="26"/>
      <c r="E125" s="81"/>
      <c r="G125" s="26"/>
    </row>
    <row r="126" spans="4:7" customFormat="1" ht="15" x14ac:dyDescent="0.25">
      <c r="D126" s="26"/>
      <c r="E126" s="81"/>
      <c r="G126" s="26"/>
    </row>
    <row r="127" spans="4:7" customFormat="1" ht="15" x14ac:dyDescent="0.25">
      <c r="D127" s="26"/>
      <c r="E127" s="81"/>
      <c r="G127" s="26"/>
    </row>
    <row r="128" spans="4:7" customFormat="1" ht="15" x14ac:dyDescent="0.25">
      <c r="D128" s="26"/>
      <c r="E128" s="81"/>
      <c r="G128" s="26"/>
    </row>
    <row r="129" spans="4:7" customFormat="1" ht="15" x14ac:dyDescent="0.25">
      <c r="D129" s="26"/>
      <c r="E129" s="81"/>
      <c r="G129" s="26"/>
    </row>
    <row r="130" spans="4:7" customFormat="1" ht="15" x14ac:dyDescent="0.25">
      <c r="D130" s="26"/>
      <c r="E130" s="81"/>
      <c r="G130" s="26"/>
    </row>
    <row r="131" spans="4:7" customFormat="1" ht="15" x14ac:dyDescent="0.25">
      <c r="D131" s="26"/>
      <c r="E131" s="81"/>
      <c r="G131" s="26"/>
    </row>
    <row r="132" spans="4:7" customFormat="1" ht="15" x14ac:dyDescent="0.25">
      <c r="D132" s="26"/>
      <c r="E132" s="81"/>
      <c r="G132" s="26"/>
    </row>
    <row r="133" spans="4:7" customFormat="1" ht="15" x14ac:dyDescent="0.25">
      <c r="D133" s="26"/>
      <c r="E133" s="81"/>
      <c r="G133" s="26"/>
    </row>
    <row r="134" spans="4:7" customFormat="1" ht="15" x14ac:dyDescent="0.25">
      <c r="D134" s="26"/>
      <c r="E134" s="81"/>
      <c r="G134" s="26"/>
    </row>
    <row r="135" spans="4:7" customFormat="1" ht="15" x14ac:dyDescent="0.25">
      <c r="D135" s="26"/>
      <c r="E135" s="81"/>
      <c r="G135" s="26"/>
    </row>
    <row r="136" spans="4:7" customFormat="1" ht="15" x14ac:dyDescent="0.25">
      <c r="D136" s="26"/>
      <c r="E136" s="81"/>
      <c r="G136" s="26"/>
    </row>
    <row r="137" spans="4:7" customFormat="1" ht="15" x14ac:dyDescent="0.25">
      <c r="D137" s="26"/>
      <c r="E137" s="81"/>
      <c r="G137" s="26"/>
    </row>
    <row r="138" spans="4:7" customFormat="1" ht="15" x14ac:dyDescent="0.25">
      <c r="D138" s="26"/>
      <c r="E138" s="81"/>
      <c r="G138" s="26"/>
    </row>
    <row r="139" spans="4:7" customFormat="1" ht="15" x14ac:dyDescent="0.25">
      <c r="D139" s="26"/>
      <c r="E139" s="81"/>
      <c r="G139" s="26"/>
    </row>
    <row r="140" spans="4:7" customFormat="1" ht="15" x14ac:dyDescent="0.25">
      <c r="D140" s="26"/>
      <c r="E140" s="81"/>
      <c r="G140" s="26"/>
    </row>
    <row r="141" spans="4:7" customFormat="1" ht="15" x14ac:dyDescent="0.25">
      <c r="D141" s="26"/>
      <c r="E141" s="81"/>
      <c r="G141" s="26"/>
    </row>
    <row r="142" spans="4:7" customFormat="1" ht="15" x14ac:dyDescent="0.25">
      <c r="D142" s="26"/>
      <c r="E142" s="81"/>
      <c r="G142" s="26"/>
    </row>
    <row r="143" spans="4:7" customFormat="1" ht="15" x14ac:dyDescent="0.25">
      <c r="D143" s="26"/>
      <c r="E143" s="81"/>
      <c r="G143" s="26"/>
    </row>
    <row r="144" spans="4:7" customFormat="1" ht="15" x14ac:dyDescent="0.25">
      <c r="D144" s="26"/>
      <c r="E144" s="81"/>
      <c r="G144" s="26"/>
    </row>
    <row r="145" spans="4:7" customFormat="1" ht="15" x14ac:dyDescent="0.25">
      <c r="D145" s="26"/>
      <c r="E145" s="81"/>
      <c r="G145" s="26"/>
    </row>
    <row r="146" spans="4:7" customFormat="1" ht="15" x14ac:dyDescent="0.25">
      <c r="D146" s="26"/>
      <c r="E146" s="81"/>
      <c r="G146" s="26"/>
    </row>
    <row r="147" spans="4:7" customFormat="1" ht="15" x14ac:dyDescent="0.25">
      <c r="D147" s="26"/>
      <c r="E147" s="81"/>
      <c r="G147" s="26"/>
    </row>
    <row r="148" spans="4:7" customFormat="1" ht="15" x14ac:dyDescent="0.25">
      <c r="D148" s="26"/>
      <c r="E148" s="81"/>
      <c r="G148" s="26"/>
    </row>
    <row r="149" spans="4:7" customFormat="1" ht="15" x14ac:dyDescent="0.25">
      <c r="D149" s="26"/>
      <c r="E149" s="81"/>
      <c r="G149" s="26"/>
    </row>
    <row r="150" spans="4:7" customFormat="1" ht="15" x14ac:dyDescent="0.25">
      <c r="D150" s="26"/>
      <c r="E150" s="81"/>
      <c r="G150" s="26"/>
    </row>
    <row r="151" spans="4:7" customFormat="1" ht="15" x14ac:dyDescent="0.25">
      <c r="D151" s="26"/>
      <c r="E151" s="81"/>
      <c r="G151" s="26"/>
    </row>
    <row r="152" spans="4:7" customFormat="1" ht="15" x14ac:dyDescent="0.25">
      <c r="D152" s="26"/>
      <c r="E152" s="81"/>
      <c r="G152" s="26"/>
    </row>
    <row r="153" spans="4:7" customFormat="1" ht="15" x14ac:dyDescent="0.25">
      <c r="D153" s="26"/>
      <c r="E153" s="81"/>
      <c r="G153" s="26"/>
    </row>
    <row r="154" spans="4:7" customFormat="1" ht="15" x14ac:dyDescent="0.25">
      <c r="D154" s="26"/>
      <c r="E154" s="81"/>
      <c r="G154" s="26"/>
    </row>
    <row r="155" spans="4:7" customFormat="1" ht="15" x14ac:dyDescent="0.25">
      <c r="D155" s="26"/>
      <c r="E155" s="81"/>
      <c r="G155" s="26"/>
    </row>
    <row r="156" spans="4:7" customFormat="1" ht="15" x14ac:dyDescent="0.25">
      <c r="D156" s="26"/>
      <c r="E156" s="81"/>
      <c r="G156" s="26"/>
    </row>
    <row r="157" spans="4:7" customFormat="1" ht="15" x14ac:dyDescent="0.25">
      <c r="D157" s="26"/>
      <c r="E157" s="81"/>
      <c r="G157" s="26"/>
    </row>
    <row r="158" spans="4:7" customFormat="1" ht="15" x14ac:dyDescent="0.25">
      <c r="D158" s="26"/>
      <c r="E158" s="81"/>
      <c r="G158" s="26"/>
    </row>
    <row r="159" spans="4:7" customFormat="1" ht="15" x14ac:dyDescent="0.25">
      <c r="D159" s="26"/>
      <c r="E159" s="81"/>
      <c r="G159" s="26"/>
    </row>
    <row r="160" spans="4:7" customFormat="1" ht="15" x14ac:dyDescent="0.25">
      <c r="D160" s="26"/>
      <c r="E160" s="81"/>
      <c r="G160" s="26"/>
    </row>
    <row r="161" spans="4:7" customFormat="1" ht="15" x14ac:dyDescent="0.25">
      <c r="D161" s="26"/>
      <c r="E161" s="81"/>
      <c r="G161" s="26"/>
    </row>
    <row r="162" spans="4:7" customFormat="1" ht="15" x14ac:dyDescent="0.25">
      <c r="D162" s="26"/>
      <c r="E162" s="81"/>
      <c r="G162" s="26"/>
    </row>
    <row r="163" spans="4:7" customFormat="1" ht="15" x14ac:dyDescent="0.25">
      <c r="D163" s="26"/>
      <c r="E163" s="81"/>
      <c r="G163" s="26"/>
    </row>
    <row r="164" spans="4:7" customFormat="1" ht="15" x14ac:dyDescent="0.25">
      <c r="D164" s="26"/>
      <c r="E164" s="81"/>
      <c r="G164" s="26"/>
    </row>
    <row r="165" spans="4:7" customFormat="1" ht="15" x14ac:dyDescent="0.25">
      <c r="D165" s="26"/>
      <c r="E165" s="81"/>
      <c r="G165" s="26"/>
    </row>
    <row r="166" spans="4:7" customFormat="1" ht="15" x14ac:dyDescent="0.25">
      <c r="D166" s="26"/>
      <c r="E166" s="81"/>
      <c r="G166" s="26"/>
    </row>
    <row r="167" spans="4:7" customFormat="1" ht="15" x14ac:dyDescent="0.25">
      <c r="D167" s="26"/>
      <c r="E167" s="81"/>
      <c r="G167" s="26"/>
    </row>
    <row r="168" spans="4:7" customFormat="1" ht="15" x14ac:dyDescent="0.25">
      <c r="D168" s="26"/>
      <c r="E168" s="81"/>
      <c r="G168" s="26"/>
    </row>
    <row r="169" spans="4:7" customFormat="1" ht="15" x14ac:dyDescent="0.25">
      <c r="D169" s="26"/>
      <c r="E169" s="81"/>
      <c r="G169" s="26"/>
    </row>
    <row r="170" spans="4:7" customFormat="1" ht="15" x14ac:dyDescent="0.25">
      <c r="D170" s="26"/>
      <c r="E170" s="81"/>
      <c r="G170" s="26"/>
    </row>
    <row r="171" spans="4:7" customFormat="1" ht="15" x14ac:dyDescent="0.25">
      <c r="D171" s="26"/>
      <c r="E171" s="81"/>
      <c r="G171" s="26"/>
    </row>
    <row r="172" spans="4:7" customFormat="1" ht="15" x14ac:dyDescent="0.25">
      <c r="D172" s="26"/>
      <c r="E172" s="81"/>
      <c r="G172" s="26"/>
    </row>
    <row r="173" spans="4:7" customFormat="1" ht="15" x14ac:dyDescent="0.25">
      <c r="D173" s="26"/>
      <c r="E173" s="81"/>
      <c r="G173" s="26"/>
    </row>
    <row r="174" spans="4:7" customFormat="1" ht="15" x14ac:dyDescent="0.25">
      <c r="D174" s="26"/>
      <c r="E174" s="81"/>
      <c r="G174" s="26"/>
    </row>
    <row r="175" spans="4:7" customFormat="1" ht="15" x14ac:dyDescent="0.25">
      <c r="D175" s="26"/>
      <c r="E175" s="81"/>
      <c r="G175" s="26"/>
    </row>
    <row r="176" spans="4:7" customFormat="1" ht="15" x14ac:dyDescent="0.25">
      <c r="D176" s="26"/>
      <c r="E176" s="81"/>
      <c r="G176" s="26"/>
    </row>
    <row r="177" spans="4:7" customFormat="1" ht="15" x14ac:dyDescent="0.25">
      <c r="D177" s="26"/>
      <c r="E177" s="81"/>
      <c r="G177" s="26"/>
    </row>
    <row r="178" spans="4:7" customFormat="1" ht="15" x14ac:dyDescent="0.25">
      <c r="D178" s="26"/>
      <c r="E178" s="81"/>
      <c r="G178" s="26"/>
    </row>
    <row r="179" spans="4:7" customFormat="1" ht="15" x14ac:dyDescent="0.25">
      <c r="D179" s="26"/>
      <c r="E179" s="81"/>
      <c r="G179" s="26"/>
    </row>
    <row r="180" spans="4:7" customFormat="1" ht="15" x14ac:dyDescent="0.25">
      <c r="D180" s="26"/>
      <c r="E180" s="81"/>
      <c r="G180" s="26"/>
    </row>
    <row r="181" spans="4:7" customFormat="1" ht="15" x14ac:dyDescent="0.25">
      <c r="D181" s="26"/>
      <c r="E181" s="81"/>
      <c r="G181" s="26"/>
    </row>
    <row r="182" spans="4:7" customFormat="1" ht="15" x14ac:dyDescent="0.25">
      <c r="D182" s="26"/>
      <c r="E182" s="81"/>
      <c r="G182" s="26"/>
    </row>
    <row r="183" spans="4:7" customFormat="1" ht="15" x14ac:dyDescent="0.25">
      <c r="D183" s="26"/>
      <c r="E183" s="81"/>
      <c r="G183" s="26"/>
    </row>
    <row r="184" spans="4:7" customFormat="1" ht="15" x14ac:dyDescent="0.25">
      <c r="D184" s="26"/>
      <c r="E184" s="81"/>
      <c r="G184" s="26"/>
    </row>
    <row r="185" spans="4:7" customFormat="1" ht="15" x14ac:dyDescent="0.25">
      <c r="D185" s="26"/>
      <c r="E185" s="81"/>
      <c r="G185" s="26"/>
    </row>
    <row r="186" spans="4:7" customFormat="1" ht="15" x14ac:dyDescent="0.25">
      <c r="D186" s="26"/>
      <c r="E186" s="81"/>
      <c r="G186" s="26"/>
    </row>
    <row r="187" spans="4:7" customFormat="1" ht="15" x14ac:dyDescent="0.25">
      <c r="D187" s="26"/>
      <c r="E187" s="81"/>
      <c r="G187" s="26"/>
    </row>
    <row r="188" spans="4:7" customFormat="1" ht="15" x14ac:dyDescent="0.25">
      <c r="D188" s="26"/>
      <c r="E188" s="81"/>
      <c r="G188" s="26"/>
    </row>
    <row r="189" spans="4:7" customFormat="1" ht="15" x14ac:dyDescent="0.25">
      <c r="D189" s="26"/>
      <c r="E189" s="81"/>
      <c r="G189" s="26"/>
    </row>
    <row r="190" spans="4:7" customFormat="1" ht="15" x14ac:dyDescent="0.25">
      <c r="D190" s="26"/>
      <c r="E190" s="81"/>
      <c r="G190" s="26"/>
    </row>
    <row r="191" spans="4:7" customFormat="1" ht="15" x14ac:dyDescent="0.25">
      <c r="D191" s="26"/>
      <c r="E191" s="81"/>
      <c r="G191" s="26"/>
    </row>
    <row r="192" spans="4:7" customFormat="1" ht="15" x14ac:dyDescent="0.25">
      <c r="D192" s="26"/>
      <c r="E192" s="81"/>
      <c r="G192" s="26"/>
    </row>
    <row r="193" spans="4:7" customFormat="1" ht="15" x14ac:dyDescent="0.25">
      <c r="D193" s="26"/>
      <c r="E193" s="81"/>
      <c r="G193" s="26"/>
    </row>
    <row r="194" spans="4:7" customFormat="1" ht="15" x14ac:dyDescent="0.25">
      <c r="D194" s="26"/>
      <c r="E194" s="81"/>
      <c r="G194" s="26"/>
    </row>
    <row r="195" spans="4:7" customFormat="1" ht="15" x14ac:dyDescent="0.25">
      <c r="D195" s="26"/>
      <c r="E195" s="81"/>
      <c r="G195" s="26"/>
    </row>
    <row r="196" spans="4:7" customFormat="1" ht="15" x14ac:dyDescent="0.25">
      <c r="D196" s="26"/>
      <c r="E196" s="81"/>
      <c r="G196" s="26"/>
    </row>
    <row r="197" spans="4:7" customFormat="1" ht="15" x14ac:dyDescent="0.25">
      <c r="D197" s="26"/>
      <c r="E197" s="81"/>
      <c r="G197" s="26"/>
    </row>
    <row r="198" spans="4:7" customFormat="1" ht="15" x14ac:dyDescent="0.25">
      <c r="D198" s="26"/>
      <c r="E198" s="81"/>
      <c r="G198" s="26"/>
    </row>
    <row r="199" spans="4:7" customFormat="1" ht="15" x14ac:dyDescent="0.25">
      <c r="D199" s="26"/>
      <c r="E199" s="81"/>
      <c r="G199" s="26"/>
    </row>
    <row r="200" spans="4:7" customFormat="1" ht="15" x14ac:dyDescent="0.25">
      <c r="D200" s="26"/>
      <c r="E200" s="81"/>
      <c r="G200" s="26"/>
    </row>
    <row r="201" spans="4:7" customFormat="1" ht="15" x14ac:dyDescent="0.25">
      <c r="D201" s="26"/>
      <c r="E201" s="81"/>
      <c r="G201" s="26"/>
    </row>
    <row r="202" spans="4:7" customFormat="1" ht="15" x14ac:dyDescent="0.25">
      <c r="D202" s="26"/>
      <c r="E202" s="81"/>
      <c r="G202" s="26"/>
    </row>
    <row r="203" spans="4:7" customFormat="1" ht="15" x14ac:dyDescent="0.25">
      <c r="D203" s="26"/>
      <c r="E203" s="81"/>
      <c r="G203" s="26"/>
    </row>
    <row r="204" spans="4:7" customFormat="1" ht="15" x14ac:dyDescent="0.25">
      <c r="D204" s="26"/>
      <c r="E204" s="81"/>
      <c r="G204" s="26"/>
    </row>
    <row r="205" spans="4:7" customFormat="1" ht="15" x14ac:dyDescent="0.25">
      <c r="D205" s="26"/>
      <c r="E205" s="81"/>
      <c r="G205" s="26"/>
    </row>
    <row r="206" spans="4:7" customFormat="1" ht="15" x14ac:dyDescent="0.25">
      <c r="D206" s="26"/>
      <c r="E206" s="81"/>
      <c r="G206" s="26"/>
    </row>
    <row r="207" spans="4:7" customFormat="1" ht="15" x14ac:dyDescent="0.25">
      <c r="D207" s="26"/>
      <c r="E207" s="81"/>
      <c r="G207" s="26"/>
    </row>
    <row r="208" spans="4:7" customFormat="1" ht="15" x14ac:dyDescent="0.25">
      <c r="D208" s="26"/>
      <c r="E208" s="81"/>
      <c r="G208" s="26"/>
    </row>
    <row r="209" spans="4:7" customFormat="1" ht="15" x14ac:dyDescent="0.25">
      <c r="D209" s="26"/>
      <c r="E209" s="81"/>
      <c r="G209" s="26"/>
    </row>
    <row r="210" spans="4:7" customFormat="1" ht="15" x14ac:dyDescent="0.25">
      <c r="D210" s="26"/>
      <c r="E210" s="81"/>
      <c r="G210" s="26"/>
    </row>
    <row r="211" spans="4:7" customFormat="1" ht="15" x14ac:dyDescent="0.25">
      <c r="D211" s="26"/>
      <c r="E211" s="81"/>
      <c r="G211" s="26"/>
    </row>
    <row r="212" spans="4:7" customFormat="1" ht="15" x14ac:dyDescent="0.25">
      <c r="D212" s="26"/>
      <c r="E212" s="81"/>
      <c r="G212" s="26"/>
    </row>
    <row r="213" spans="4:7" customFormat="1" ht="15" x14ac:dyDescent="0.25">
      <c r="D213" s="26"/>
      <c r="E213" s="81"/>
      <c r="G213" s="26"/>
    </row>
    <row r="214" spans="4:7" customFormat="1" ht="15" x14ac:dyDescent="0.25">
      <c r="D214" s="26"/>
      <c r="E214" s="81"/>
      <c r="G214" s="26"/>
    </row>
    <row r="215" spans="4:7" customFormat="1" ht="15" x14ac:dyDescent="0.25">
      <c r="D215" s="26"/>
      <c r="E215" s="81"/>
      <c r="G215" s="26"/>
    </row>
    <row r="216" spans="4:7" customFormat="1" ht="15" x14ac:dyDescent="0.25">
      <c r="D216" s="26"/>
      <c r="E216" s="81"/>
      <c r="G216" s="26"/>
    </row>
    <row r="217" spans="4:7" customFormat="1" ht="15" x14ac:dyDescent="0.25">
      <c r="D217" s="26"/>
      <c r="E217" s="81"/>
      <c r="G217" s="26"/>
    </row>
    <row r="218" spans="4:7" customFormat="1" ht="15" x14ac:dyDescent="0.25">
      <c r="D218" s="26"/>
      <c r="E218" s="81"/>
      <c r="G218" s="26"/>
    </row>
    <row r="219" spans="4:7" customFormat="1" ht="15" x14ac:dyDescent="0.25">
      <c r="D219" s="26"/>
      <c r="E219" s="81"/>
      <c r="G219" s="26"/>
    </row>
    <row r="220" spans="4:7" customFormat="1" ht="15" x14ac:dyDescent="0.25">
      <c r="D220" s="26"/>
      <c r="E220" s="81"/>
      <c r="G220" s="26"/>
    </row>
    <row r="221" spans="4:7" customFormat="1" ht="15" x14ac:dyDescent="0.25">
      <c r="D221" s="26"/>
      <c r="E221" s="81"/>
      <c r="G221" s="26"/>
    </row>
    <row r="222" spans="4:7" customFormat="1" ht="15" x14ac:dyDescent="0.25">
      <c r="D222" s="26"/>
      <c r="E222" s="81"/>
      <c r="G222" s="26"/>
    </row>
    <row r="223" spans="4:7" customFormat="1" ht="15" x14ac:dyDescent="0.25">
      <c r="D223" s="26"/>
      <c r="E223" s="81"/>
      <c r="G223" s="26"/>
    </row>
    <row r="224" spans="4:7" customFormat="1" ht="15" x14ac:dyDescent="0.25">
      <c r="D224" s="26"/>
      <c r="E224" s="81"/>
      <c r="G224" s="26"/>
    </row>
    <row r="225" spans="4:7" customFormat="1" ht="15" x14ac:dyDescent="0.25">
      <c r="D225" s="26"/>
      <c r="E225" s="81"/>
      <c r="G225" s="26"/>
    </row>
    <row r="226" spans="4:7" customFormat="1" ht="15" x14ac:dyDescent="0.25">
      <c r="D226" s="26"/>
      <c r="E226" s="81"/>
      <c r="G226" s="26"/>
    </row>
    <row r="227" spans="4:7" customFormat="1" ht="15" x14ac:dyDescent="0.25">
      <c r="D227" s="26"/>
      <c r="E227" s="81"/>
      <c r="G227" s="26"/>
    </row>
    <row r="228" spans="4:7" customFormat="1" ht="15" x14ac:dyDescent="0.25">
      <c r="D228" s="26"/>
      <c r="E228" s="81"/>
      <c r="G228" s="26"/>
    </row>
    <row r="229" spans="4:7" customFormat="1" ht="15" x14ac:dyDescent="0.25">
      <c r="D229" s="26"/>
      <c r="E229" s="81"/>
      <c r="G229" s="26"/>
    </row>
    <row r="230" spans="4:7" customFormat="1" ht="15" x14ac:dyDescent="0.25">
      <c r="D230" s="26"/>
      <c r="E230" s="81"/>
      <c r="G230" s="26"/>
    </row>
    <row r="231" spans="4:7" customFormat="1" ht="15" x14ac:dyDescent="0.25">
      <c r="D231" s="26"/>
      <c r="E231" s="81"/>
      <c r="G231" s="26"/>
    </row>
    <row r="232" spans="4:7" customFormat="1" ht="15" x14ac:dyDescent="0.25">
      <c r="D232" s="26"/>
      <c r="E232" s="81"/>
      <c r="G232" s="26"/>
    </row>
    <row r="233" spans="4:7" customFormat="1" ht="15" x14ac:dyDescent="0.25">
      <c r="D233" s="26"/>
      <c r="E233" s="81"/>
      <c r="G233" s="26"/>
    </row>
    <row r="234" spans="4:7" customFormat="1" ht="15" x14ac:dyDescent="0.25">
      <c r="D234" s="26"/>
      <c r="E234" s="81"/>
      <c r="G234" s="26"/>
    </row>
    <row r="235" spans="4:7" customFormat="1" ht="15" x14ac:dyDescent="0.25">
      <c r="D235" s="26"/>
      <c r="E235" s="81"/>
      <c r="G235" s="26"/>
    </row>
    <row r="236" spans="4:7" customFormat="1" ht="15" x14ac:dyDescent="0.25">
      <c r="D236" s="26"/>
      <c r="E236" s="81"/>
      <c r="G236" s="26"/>
    </row>
    <row r="237" spans="4:7" customFormat="1" ht="15" x14ac:dyDescent="0.25">
      <c r="D237" s="26"/>
      <c r="E237" s="81"/>
      <c r="G237" s="26"/>
    </row>
    <row r="238" spans="4:7" customFormat="1" ht="15" x14ac:dyDescent="0.25">
      <c r="D238" s="26"/>
      <c r="E238" s="81"/>
      <c r="G238" s="26"/>
    </row>
    <row r="239" spans="4:7" customFormat="1" ht="15" x14ac:dyDescent="0.25">
      <c r="D239" s="26"/>
      <c r="E239" s="81"/>
      <c r="G239" s="26"/>
    </row>
    <row r="240" spans="4:7" customFormat="1" ht="15" x14ac:dyDescent="0.25">
      <c r="D240" s="26"/>
      <c r="E240" s="81"/>
      <c r="G240" s="26"/>
    </row>
    <row r="241" spans="4:7" customFormat="1" ht="15" x14ac:dyDescent="0.25">
      <c r="D241" s="26"/>
      <c r="E241" s="81"/>
      <c r="G241" s="26"/>
    </row>
    <row r="242" spans="4:7" customFormat="1" ht="15" x14ac:dyDescent="0.25">
      <c r="D242" s="26"/>
      <c r="E242" s="81"/>
      <c r="G242" s="26"/>
    </row>
    <row r="243" spans="4:7" customFormat="1" ht="15" x14ac:dyDescent="0.25">
      <c r="D243" s="26"/>
      <c r="E243" s="81"/>
      <c r="G243" s="26"/>
    </row>
    <row r="244" spans="4:7" customFormat="1" ht="15" x14ac:dyDescent="0.25">
      <c r="D244" s="26"/>
      <c r="E244" s="81"/>
      <c r="G244" s="26"/>
    </row>
    <row r="245" spans="4:7" customFormat="1" ht="15" x14ac:dyDescent="0.25">
      <c r="D245" s="26"/>
      <c r="E245" s="81"/>
      <c r="G245" s="26"/>
    </row>
    <row r="246" spans="4:7" customFormat="1" ht="15" x14ac:dyDescent="0.25">
      <c r="D246" s="26"/>
      <c r="E246" s="81"/>
      <c r="G246" s="26"/>
    </row>
    <row r="247" spans="4:7" customFormat="1" ht="15" x14ac:dyDescent="0.25">
      <c r="D247" s="26"/>
      <c r="E247" s="81"/>
      <c r="G247" s="26"/>
    </row>
    <row r="248" spans="4:7" customFormat="1" ht="15" x14ac:dyDescent="0.25">
      <c r="D248" s="26"/>
      <c r="E248" s="81"/>
      <c r="G248" s="26"/>
    </row>
    <row r="249" spans="4:7" customFormat="1" ht="15" x14ac:dyDescent="0.25">
      <c r="D249" s="26"/>
      <c r="E249" s="81"/>
      <c r="G249" s="26"/>
    </row>
    <row r="250" spans="4:7" customFormat="1" ht="15" x14ac:dyDescent="0.25">
      <c r="D250" s="26"/>
      <c r="E250" s="81"/>
      <c r="G250" s="26"/>
    </row>
    <row r="251" spans="4:7" customFormat="1" ht="15" x14ac:dyDescent="0.25">
      <c r="D251" s="26"/>
      <c r="E251" s="81"/>
      <c r="G251" s="26"/>
    </row>
    <row r="252" spans="4:7" customFormat="1" ht="15" x14ac:dyDescent="0.25">
      <c r="D252" s="26"/>
      <c r="E252" s="81"/>
      <c r="G252" s="26"/>
    </row>
    <row r="253" spans="4:7" customFormat="1" ht="15" x14ac:dyDescent="0.25">
      <c r="D253" s="26"/>
      <c r="E253" s="81"/>
      <c r="G253" s="26"/>
    </row>
    <row r="254" spans="4:7" customFormat="1" ht="15" x14ac:dyDescent="0.25">
      <c r="D254" s="26"/>
      <c r="E254" s="81"/>
      <c r="G254" s="26"/>
    </row>
    <row r="255" spans="4:7" customFormat="1" ht="15" x14ac:dyDescent="0.25">
      <c r="D255" s="26"/>
      <c r="E255" s="81"/>
      <c r="G255" s="26"/>
    </row>
    <row r="256" spans="4:7" customFormat="1" ht="15" x14ac:dyDescent="0.25">
      <c r="D256" s="26"/>
      <c r="E256" s="81"/>
      <c r="G256" s="26"/>
    </row>
    <row r="257" spans="4:7" customFormat="1" ht="15" x14ac:dyDescent="0.25">
      <c r="D257" s="26"/>
      <c r="E257" s="81"/>
      <c r="G257" s="26"/>
    </row>
    <row r="258" spans="4:7" customFormat="1" ht="15" x14ac:dyDescent="0.25">
      <c r="D258" s="26"/>
      <c r="E258" s="81"/>
      <c r="G258" s="26"/>
    </row>
    <row r="259" spans="4:7" customFormat="1" ht="15" x14ac:dyDescent="0.25">
      <c r="D259" s="26"/>
      <c r="E259" s="81"/>
      <c r="G259" s="26"/>
    </row>
    <row r="260" spans="4:7" customFormat="1" ht="15" x14ac:dyDescent="0.25">
      <c r="D260" s="26"/>
      <c r="E260" s="81"/>
      <c r="G260" s="26"/>
    </row>
    <row r="261" spans="4:7" customFormat="1" ht="15" x14ac:dyDescent="0.25">
      <c r="D261" s="26"/>
      <c r="E261" s="81"/>
      <c r="G261" s="26"/>
    </row>
    <row r="262" spans="4:7" customFormat="1" ht="15" x14ac:dyDescent="0.25">
      <c r="D262" s="26"/>
      <c r="E262" s="81"/>
      <c r="G262" s="26"/>
    </row>
    <row r="263" spans="4:7" customFormat="1" ht="15" x14ac:dyDescent="0.25">
      <c r="D263" s="26"/>
      <c r="E263" s="81"/>
      <c r="G263" s="26"/>
    </row>
    <row r="264" spans="4:7" customFormat="1" ht="15" x14ac:dyDescent="0.25">
      <c r="D264" s="26"/>
      <c r="E264" s="81"/>
      <c r="G264" s="26"/>
    </row>
    <row r="265" spans="4:7" customFormat="1" ht="15" x14ac:dyDescent="0.25">
      <c r="D265" s="26"/>
      <c r="E265" s="81"/>
      <c r="G265" s="26"/>
    </row>
    <row r="266" spans="4:7" customFormat="1" ht="15" x14ac:dyDescent="0.25">
      <c r="D266" s="26"/>
      <c r="E266" s="81"/>
      <c r="G266" s="26"/>
    </row>
    <row r="267" spans="4:7" customFormat="1" ht="15" x14ac:dyDescent="0.25">
      <c r="D267" s="26"/>
      <c r="E267" s="81"/>
      <c r="G267" s="26"/>
    </row>
    <row r="268" spans="4:7" customFormat="1" ht="15" x14ac:dyDescent="0.25">
      <c r="D268" s="26"/>
      <c r="E268" s="81"/>
      <c r="G268" s="26"/>
    </row>
    <row r="269" spans="4:7" customFormat="1" ht="15" x14ac:dyDescent="0.25">
      <c r="D269" s="26"/>
      <c r="E269" s="81"/>
      <c r="G269" s="26"/>
    </row>
    <row r="270" spans="4:7" customFormat="1" ht="15" x14ac:dyDescent="0.25">
      <c r="D270" s="26"/>
      <c r="E270" s="81"/>
      <c r="G270" s="26"/>
    </row>
    <row r="271" spans="4:7" customFormat="1" ht="15" x14ac:dyDescent="0.25">
      <c r="D271" s="26"/>
      <c r="E271" s="81"/>
      <c r="G271" s="26"/>
    </row>
    <row r="272" spans="4:7" customFormat="1" ht="15" x14ac:dyDescent="0.25">
      <c r="D272" s="26"/>
      <c r="E272" s="81"/>
      <c r="G272" s="26"/>
    </row>
    <row r="273" spans="4:7" customFormat="1" ht="15" x14ac:dyDescent="0.25">
      <c r="D273" s="26"/>
      <c r="E273" s="81"/>
      <c r="G273" s="26"/>
    </row>
    <row r="274" spans="4:7" customFormat="1" ht="15" x14ac:dyDescent="0.25">
      <c r="D274" s="26"/>
      <c r="E274" s="81"/>
      <c r="G274" s="26"/>
    </row>
    <row r="275" spans="4:7" customFormat="1" ht="15" x14ac:dyDescent="0.25">
      <c r="D275" s="26"/>
      <c r="E275" s="81"/>
      <c r="G275" s="26"/>
    </row>
    <row r="276" spans="4:7" customFormat="1" ht="15" x14ac:dyDescent="0.25">
      <c r="D276" s="26"/>
      <c r="E276" s="81"/>
      <c r="G276" s="26"/>
    </row>
    <row r="277" spans="4:7" customFormat="1" ht="15" x14ac:dyDescent="0.25">
      <c r="D277" s="26"/>
      <c r="E277" s="81"/>
      <c r="G277" s="26"/>
    </row>
    <row r="278" spans="4:7" customFormat="1" ht="15" x14ac:dyDescent="0.25">
      <c r="D278" s="26"/>
      <c r="E278" s="81"/>
      <c r="G278" s="26"/>
    </row>
    <row r="279" spans="4:7" customFormat="1" ht="15" x14ac:dyDescent="0.25">
      <c r="D279" s="26"/>
      <c r="E279" s="81"/>
      <c r="G279" s="26"/>
    </row>
    <row r="280" spans="4:7" customFormat="1" ht="15" x14ac:dyDescent="0.25">
      <c r="D280" s="26"/>
      <c r="E280" s="81"/>
      <c r="G280" s="26"/>
    </row>
    <row r="281" spans="4:7" customFormat="1" ht="15" x14ac:dyDescent="0.25">
      <c r="D281" s="26"/>
      <c r="E281" s="81"/>
      <c r="G281" s="26"/>
    </row>
    <row r="282" spans="4:7" customFormat="1" ht="15" x14ac:dyDescent="0.25">
      <c r="D282" s="26"/>
      <c r="E282" s="81"/>
      <c r="G282" s="26"/>
    </row>
    <row r="283" spans="4:7" customFormat="1" ht="15" x14ac:dyDescent="0.25">
      <c r="D283" s="26"/>
      <c r="E283" s="81"/>
      <c r="G283" s="26"/>
    </row>
    <row r="284" spans="4:7" customFormat="1" ht="15" x14ac:dyDescent="0.25">
      <c r="D284" s="26"/>
      <c r="E284" s="81"/>
      <c r="G284" s="26"/>
    </row>
    <row r="285" spans="4:7" customFormat="1" ht="15" x14ac:dyDescent="0.25">
      <c r="D285" s="26"/>
      <c r="E285" s="81"/>
      <c r="G285" s="26"/>
    </row>
    <row r="286" spans="4:7" customFormat="1" ht="15" x14ac:dyDescent="0.25">
      <c r="D286" s="26"/>
      <c r="E286" s="81"/>
      <c r="G286" s="26"/>
    </row>
    <row r="287" spans="4:7" customFormat="1" ht="15" x14ac:dyDescent="0.25">
      <c r="D287" s="26"/>
      <c r="E287" s="81"/>
      <c r="G287" s="26"/>
    </row>
    <row r="288" spans="4:7" customFormat="1" ht="15" x14ac:dyDescent="0.25">
      <c r="D288" s="26"/>
      <c r="E288" s="81"/>
      <c r="G288" s="26"/>
    </row>
    <row r="289" spans="4:11" customFormat="1" ht="15" x14ac:dyDescent="0.25">
      <c r="D289" s="26"/>
      <c r="E289" s="81"/>
      <c r="G289" s="26"/>
    </row>
    <row r="290" spans="4:11" customFormat="1" ht="15" x14ac:dyDescent="0.25">
      <c r="D290" s="26"/>
      <c r="E290" s="81"/>
      <c r="G290" s="26"/>
    </row>
    <row r="291" spans="4:11" customFormat="1" ht="15" x14ac:dyDescent="0.25">
      <c r="D291" s="26"/>
      <c r="E291" s="81"/>
      <c r="G291" s="26"/>
    </row>
    <row r="292" spans="4:11" customFormat="1" ht="15" x14ac:dyDescent="0.25">
      <c r="D292" s="26"/>
      <c r="E292" s="81"/>
      <c r="G292" s="26"/>
    </row>
    <row r="293" spans="4:11" customFormat="1" ht="15" x14ac:dyDescent="0.25">
      <c r="D293" s="26"/>
      <c r="E293" s="81"/>
      <c r="G293" s="26"/>
    </row>
    <row r="294" spans="4:11" customFormat="1" ht="15" x14ac:dyDescent="0.25">
      <c r="D294" s="26"/>
      <c r="E294" s="81"/>
      <c r="G294" s="26"/>
    </row>
    <row r="295" spans="4:11" customFormat="1" ht="15" x14ac:dyDescent="0.25">
      <c r="D295" s="26"/>
      <c r="E295" s="81"/>
      <c r="G295" s="26"/>
    </row>
    <row r="296" spans="4:11" customFormat="1" ht="15" x14ac:dyDescent="0.25">
      <c r="D296" s="26"/>
      <c r="E296" s="81"/>
      <c r="G296" s="26"/>
      <c r="H296" s="25"/>
    </row>
    <row r="297" spans="4:11" customFormat="1" ht="15" x14ac:dyDescent="0.25">
      <c r="D297" s="26"/>
      <c r="E297" s="81"/>
      <c r="G297" s="26"/>
      <c r="H297" s="25"/>
    </row>
    <row r="298" spans="4:11" ht="15" x14ac:dyDescent="0.25">
      <c r="K298"/>
    </row>
  </sheetData>
  <mergeCells count="1">
    <mergeCell ref="D1:F1"/>
  </mergeCells>
  <phoneticPr fontId="55" type="noConversion"/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FFFF00"/>
  </sheetPr>
  <dimension ref="A1:W355"/>
  <sheetViews>
    <sheetView topLeftCell="A2" zoomScaleNormal="100" workbookViewId="0">
      <selection activeCell="J38" sqref="J38"/>
    </sheetView>
  </sheetViews>
  <sheetFormatPr defaultColWidth="8.42578125" defaultRowHeight="15" x14ac:dyDescent="0.25"/>
  <cols>
    <col min="1" max="1" width="3.7109375" style="14" customWidth="1"/>
    <col min="2" max="2" width="63.42578125" style="1" customWidth="1"/>
    <col min="3" max="3" width="10.7109375" style="2" customWidth="1"/>
    <col min="4" max="5" width="13.7109375" style="2" customWidth="1"/>
    <col min="6" max="6" width="12.7109375" style="2" customWidth="1"/>
    <col min="7" max="7" width="16.42578125" style="15" customWidth="1"/>
    <col min="8" max="8" width="9.28515625" style="1" bestFit="1" customWidth="1"/>
    <col min="9" max="232" width="8.42578125" style="1"/>
    <col min="233" max="233" width="3.42578125" style="1" customWidth="1"/>
    <col min="234" max="234" width="38.42578125" style="1" customWidth="1"/>
    <col min="235" max="235" width="17.42578125" style="1" customWidth="1"/>
    <col min="236" max="236" width="15.140625" style="1" customWidth="1"/>
    <col min="237" max="237" width="15.42578125" style="1" customWidth="1"/>
    <col min="238" max="238" width="13.140625" style="1" customWidth="1"/>
    <col min="239" max="239" width="20.42578125" style="1" customWidth="1"/>
    <col min="240" max="488" width="8.42578125" style="1"/>
    <col min="489" max="489" width="3.42578125" style="1" customWidth="1"/>
    <col min="490" max="490" width="38.42578125" style="1" customWidth="1"/>
    <col min="491" max="491" width="17.42578125" style="1" customWidth="1"/>
    <col min="492" max="492" width="15.140625" style="1" customWidth="1"/>
    <col min="493" max="493" width="15.42578125" style="1" customWidth="1"/>
    <col min="494" max="494" width="13.140625" style="1" customWidth="1"/>
    <col min="495" max="495" width="20.42578125" style="1" customWidth="1"/>
    <col min="496" max="744" width="8.42578125" style="1"/>
    <col min="745" max="745" width="3.42578125" style="1" customWidth="1"/>
    <col min="746" max="746" width="38.42578125" style="1" customWidth="1"/>
    <col min="747" max="747" width="17.42578125" style="1" customWidth="1"/>
    <col min="748" max="748" width="15.140625" style="1" customWidth="1"/>
    <col min="749" max="749" width="15.42578125" style="1" customWidth="1"/>
    <col min="750" max="750" width="13.140625" style="1" customWidth="1"/>
    <col min="751" max="751" width="20.42578125" style="1" customWidth="1"/>
    <col min="752" max="1000" width="8.42578125" style="1"/>
    <col min="1001" max="1001" width="3.42578125" style="1" customWidth="1"/>
    <col min="1002" max="1002" width="38.42578125" style="1" customWidth="1"/>
    <col min="1003" max="1003" width="17.42578125" style="1" customWidth="1"/>
    <col min="1004" max="1004" width="15.140625" style="1" customWidth="1"/>
    <col min="1005" max="1005" width="15.42578125" style="1" customWidth="1"/>
    <col min="1006" max="1006" width="13.140625" style="1" customWidth="1"/>
    <col min="1007" max="1007" width="20.42578125" style="1" customWidth="1"/>
    <col min="1008" max="1256" width="8.42578125" style="1"/>
    <col min="1257" max="1257" width="3.42578125" style="1" customWidth="1"/>
    <col min="1258" max="1258" width="38.42578125" style="1" customWidth="1"/>
    <col min="1259" max="1259" width="17.42578125" style="1" customWidth="1"/>
    <col min="1260" max="1260" width="15.140625" style="1" customWidth="1"/>
    <col min="1261" max="1261" width="15.42578125" style="1" customWidth="1"/>
    <col min="1262" max="1262" width="13.140625" style="1" customWidth="1"/>
    <col min="1263" max="1263" width="20.42578125" style="1" customWidth="1"/>
    <col min="1264" max="1512" width="8.42578125" style="1"/>
    <col min="1513" max="1513" width="3.42578125" style="1" customWidth="1"/>
    <col min="1514" max="1514" width="38.42578125" style="1" customWidth="1"/>
    <col min="1515" max="1515" width="17.42578125" style="1" customWidth="1"/>
    <col min="1516" max="1516" width="15.140625" style="1" customWidth="1"/>
    <col min="1517" max="1517" width="15.42578125" style="1" customWidth="1"/>
    <col min="1518" max="1518" width="13.140625" style="1" customWidth="1"/>
    <col min="1519" max="1519" width="20.42578125" style="1" customWidth="1"/>
    <col min="1520" max="1768" width="8.42578125" style="1"/>
    <col min="1769" max="1769" width="3.42578125" style="1" customWidth="1"/>
    <col min="1770" max="1770" width="38.42578125" style="1" customWidth="1"/>
    <col min="1771" max="1771" width="17.42578125" style="1" customWidth="1"/>
    <col min="1772" max="1772" width="15.140625" style="1" customWidth="1"/>
    <col min="1773" max="1773" width="15.42578125" style="1" customWidth="1"/>
    <col min="1774" max="1774" width="13.140625" style="1" customWidth="1"/>
    <col min="1775" max="1775" width="20.42578125" style="1" customWidth="1"/>
    <col min="1776" max="2024" width="8.42578125" style="1"/>
    <col min="2025" max="2025" width="3.42578125" style="1" customWidth="1"/>
    <col min="2026" max="2026" width="38.42578125" style="1" customWidth="1"/>
    <col min="2027" max="2027" width="17.42578125" style="1" customWidth="1"/>
    <col min="2028" max="2028" width="15.140625" style="1" customWidth="1"/>
    <col min="2029" max="2029" width="15.42578125" style="1" customWidth="1"/>
    <col min="2030" max="2030" width="13.140625" style="1" customWidth="1"/>
    <col min="2031" max="2031" width="20.42578125" style="1" customWidth="1"/>
    <col min="2032" max="2280" width="8.42578125" style="1"/>
    <col min="2281" max="2281" width="3.42578125" style="1" customWidth="1"/>
    <col min="2282" max="2282" width="38.42578125" style="1" customWidth="1"/>
    <col min="2283" max="2283" width="17.42578125" style="1" customWidth="1"/>
    <col min="2284" max="2284" width="15.140625" style="1" customWidth="1"/>
    <col min="2285" max="2285" width="15.42578125" style="1" customWidth="1"/>
    <col min="2286" max="2286" width="13.140625" style="1" customWidth="1"/>
    <col min="2287" max="2287" width="20.42578125" style="1" customWidth="1"/>
    <col min="2288" max="2536" width="8.42578125" style="1"/>
    <col min="2537" max="2537" width="3.42578125" style="1" customWidth="1"/>
    <col min="2538" max="2538" width="38.42578125" style="1" customWidth="1"/>
    <col min="2539" max="2539" width="17.42578125" style="1" customWidth="1"/>
    <col min="2540" max="2540" width="15.140625" style="1" customWidth="1"/>
    <col min="2541" max="2541" width="15.42578125" style="1" customWidth="1"/>
    <col min="2542" max="2542" width="13.140625" style="1" customWidth="1"/>
    <col min="2543" max="2543" width="20.42578125" style="1" customWidth="1"/>
    <col min="2544" max="2792" width="8.42578125" style="1"/>
    <col min="2793" max="2793" width="3.42578125" style="1" customWidth="1"/>
    <col min="2794" max="2794" width="38.42578125" style="1" customWidth="1"/>
    <col min="2795" max="2795" width="17.42578125" style="1" customWidth="1"/>
    <col min="2796" max="2796" width="15.140625" style="1" customWidth="1"/>
    <col min="2797" max="2797" width="15.42578125" style="1" customWidth="1"/>
    <col min="2798" max="2798" width="13.140625" style="1" customWidth="1"/>
    <col min="2799" max="2799" width="20.42578125" style="1" customWidth="1"/>
    <col min="2800" max="3048" width="8.42578125" style="1"/>
    <col min="3049" max="3049" width="3.42578125" style="1" customWidth="1"/>
    <col min="3050" max="3050" width="38.42578125" style="1" customWidth="1"/>
    <col min="3051" max="3051" width="17.42578125" style="1" customWidth="1"/>
    <col min="3052" max="3052" width="15.140625" style="1" customWidth="1"/>
    <col min="3053" max="3053" width="15.42578125" style="1" customWidth="1"/>
    <col min="3054" max="3054" width="13.140625" style="1" customWidth="1"/>
    <col min="3055" max="3055" width="20.42578125" style="1" customWidth="1"/>
    <col min="3056" max="3304" width="8.42578125" style="1"/>
    <col min="3305" max="3305" width="3.42578125" style="1" customWidth="1"/>
    <col min="3306" max="3306" width="38.42578125" style="1" customWidth="1"/>
    <col min="3307" max="3307" width="17.42578125" style="1" customWidth="1"/>
    <col min="3308" max="3308" width="15.140625" style="1" customWidth="1"/>
    <col min="3309" max="3309" width="15.42578125" style="1" customWidth="1"/>
    <col min="3310" max="3310" width="13.140625" style="1" customWidth="1"/>
    <col min="3311" max="3311" width="20.42578125" style="1" customWidth="1"/>
    <col min="3312" max="3560" width="8.42578125" style="1"/>
    <col min="3561" max="3561" width="3.42578125" style="1" customWidth="1"/>
    <col min="3562" max="3562" width="38.42578125" style="1" customWidth="1"/>
    <col min="3563" max="3563" width="17.42578125" style="1" customWidth="1"/>
    <col min="3564" max="3564" width="15.140625" style="1" customWidth="1"/>
    <col min="3565" max="3565" width="15.42578125" style="1" customWidth="1"/>
    <col min="3566" max="3566" width="13.140625" style="1" customWidth="1"/>
    <col min="3567" max="3567" width="20.42578125" style="1" customWidth="1"/>
    <col min="3568" max="3816" width="8.42578125" style="1"/>
    <col min="3817" max="3817" width="3.42578125" style="1" customWidth="1"/>
    <col min="3818" max="3818" width="38.42578125" style="1" customWidth="1"/>
    <col min="3819" max="3819" width="17.42578125" style="1" customWidth="1"/>
    <col min="3820" max="3820" width="15.140625" style="1" customWidth="1"/>
    <col min="3821" max="3821" width="15.42578125" style="1" customWidth="1"/>
    <col min="3822" max="3822" width="13.140625" style="1" customWidth="1"/>
    <col min="3823" max="3823" width="20.42578125" style="1" customWidth="1"/>
    <col min="3824" max="4072" width="8.42578125" style="1"/>
    <col min="4073" max="4073" width="3.42578125" style="1" customWidth="1"/>
    <col min="4074" max="4074" width="38.42578125" style="1" customWidth="1"/>
    <col min="4075" max="4075" width="17.42578125" style="1" customWidth="1"/>
    <col min="4076" max="4076" width="15.140625" style="1" customWidth="1"/>
    <col min="4077" max="4077" width="15.42578125" style="1" customWidth="1"/>
    <col min="4078" max="4078" width="13.140625" style="1" customWidth="1"/>
    <col min="4079" max="4079" width="20.42578125" style="1" customWidth="1"/>
    <col min="4080" max="4328" width="8.42578125" style="1"/>
    <col min="4329" max="4329" width="3.42578125" style="1" customWidth="1"/>
    <col min="4330" max="4330" width="38.42578125" style="1" customWidth="1"/>
    <col min="4331" max="4331" width="17.42578125" style="1" customWidth="1"/>
    <col min="4332" max="4332" width="15.140625" style="1" customWidth="1"/>
    <col min="4333" max="4333" width="15.42578125" style="1" customWidth="1"/>
    <col min="4334" max="4334" width="13.140625" style="1" customWidth="1"/>
    <col min="4335" max="4335" width="20.42578125" style="1" customWidth="1"/>
    <col min="4336" max="4584" width="8.42578125" style="1"/>
    <col min="4585" max="4585" width="3.42578125" style="1" customWidth="1"/>
    <col min="4586" max="4586" width="38.42578125" style="1" customWidth="1"/>
    <col min="4587" max="4587" width="17.42578125" style="1" customWidth="1"/>
    <col min="4588" max="4588" width="15.140625" style="1" customWidth="1"/>
    <col min="4589" max="4589" width="15.42578125" style="1" customWidth="1"/>
    <col min="4590" max="4590" width="13.140625" style="1" customWidth="1"/>
    <col min="4591" max="4591" width="20.42578125" style="1" customWidth="1"/>
    <col min="4592" max="4840" width="8.42578125" style="1"/>
    <col min="4841" max="4841" width="3.42578125" style="1" customWidth="1"/>
    <col min="4842" max="4842" width="38.42578125" style="1" customWidth="1"/>
    <col min="4843" max="4843" width="17.42578125" style="1" customWidth="1"/>
    <col min="4844" max="4844" width="15.140625" style="1" customWidth="1"/>
    <col min="4845" max="4845" width="15.42578125" style="1" customWidth="1"/>
    <col min="4846" max="4846" width="13.140625" style="1" customWidth="1"/>
    <col min="4847" max="4847" width="20.42578125" style="1" customWidth="1"/>
    <col min="4848" max="5096" width="8.42578125" style="1"/>
    <col min="5097" max="5097" width="3.42578125" style="1" customWidth="1"/>
    <col min="5098" max="5098" width="38.42578125" style="1" customWidth="1"/>
    <col min="5099" max="5099" width="17.42578125" style="1" customWidth="1"/>
    <col min="5100" max="5100" width="15.140625" style="1" customWidth="1"/>
    <col min="5101" max="5101" width="15.42578125" style="1" customWidth="1"/>
    <col min="5102" max="5102" width="13.140625" style="1" customWidth="1"/>
    <col min="5103" max="5103" width="20.42578125" style="1" customWidth="1"/>
    <col min="5104" max="5352" width="8.42578125" style="1"/>
    <col min="5353" max="5353" width="3.42578125" style="1" customWidth="1"/>
    <col min="5354" max="5354" width="38.42578125" style="1" customWidth="1"/>
    <col min="5355" max="5355" width="17.42578125" style="1" customWidth="1"/>
    <col min="5356" max="5356" width="15.140625" style="1" customWidth="1"/>
    <col min="5357" max="5357" width="15.42578125" style="1" customWidth="1"/>
    <col min="5358" max="5358" width="13.140625" style="1" customWidth="1"/>
    <col min="5359" max="5359" width="20.42578125" style="1" customWidth="1"/>
    <col min="5360" max="5608" width="8.42578125" style="1"/>
    <col min="5609" max="5609" width="3.42578125" style="1" customWidth="1"/>
    <col min="5610" max="5610" width="38.42578125" style="1" customWidth="1"/>
    <col min="5611" max="5611" width="17.42578125" style="1" customWidth="1"/>
    <col min="5612" max="5612" width="15.140625" style="1" customWidth="1"/>
    <col min="5613" max="5613" width="15.42578125" style="1" customWidth="1"/>
    <col min="5614" max="5614" width="13.140625" style="1" customWidth="1"/>
    <col min="5615" max="5615" width="20.42578125" style="1" customWidth="1"/>
    <col min="5616" max="5864" width="8.42578125" style="1"/>
    <col min="5865" max="5865" width="3.42578125" style="1" customWidth="1"/>
    <col min="5866" max="5866" width="38.42578125" style="1" customWidth="1"/>
    <col min="5867" max="5867" width="17.42578125" style="1" customWidth="1"/>
    <col min="5868" max="5868" width="15.140625" style="1" customWidth="1"/>
    <col min="5869" max="5869" width="15.42578125" style="1" customWidth="1"/>
    <col min="5870" max="5870" width="13.140625" style="1" customWidth="1"/>
    <col min="5871" max="5871" width="20.42578125" style="1" customWidth="1"/>
    <col min="5872" max="6120" width="8.42578125" style="1"/>
    <col min="6121" max="6121" width="3.42578125" style="1" customWidth="1"/>
    <col min="6122" max="6122" width="38.42578125" style="1" customWidth="1"/>
    <col min="6123" max="6123" width="17.42578125" style="1" customWidth="1"/>
    <col min="6124" max="6124" width="15.140625" style="1" customWidth="1"/>
    <col min="6125" max="6125" width="15.42578125" style="1" customWidth="1"/>
    <col min="6126" max="6126" width="13.140625" style="1" customWidth="1"/>
    <col min="6127" max="6127" width="20.42578125" style="1" customWidth="1"/>
    <col min="6128" max="6376" width="8.42578125" style="1"/>
    <col min="6377" max="6377" width="3.42578125" style="1" customWidth="1"/>
    <col min="6378" max="6378" width="38.42578125" style="1" customWidth="1"/>
    <col min="6379" max="6379" width="17.42578125" style="1" customWidth="1"/>
    <col min="6380" max="6380" width="15.140625" style="1" customWidth="1"/>
    <col min="6381" max="6381" width="15.42578125" style="1" customWidth="1"/>
    <col min="6382" max="6382" width="13.140625" style="1" customWidth="1"/>
    <col min="6383" max="6383" width="20.42578125" style="1" customWidth="1"/>
    <col min="6384" max="6632" width="8.42578125" style="1"/>
    <col min="6633" max="6633" width="3.42578125" style="1" customWidth="1"/>
    <col min="6634" max="6634" width="38.42578125" style="1" customWidth="1"/>
    <col min="6635" max="6635" width="17.42578125" style="1" customWidth="1"/>
    <col min="6636" max="6636" width="15.140625" style="1" customWidth="1"/>
    <col min="6637" max="6637" width="15.42578125" style="1" customWidth="1"/>
    <col min="6638" max="6638" width="13.140625" style="1" customWidth="1"/>
    <col min="6639" max="6639" width="20.42578125" style="1" customWidth="1"/>
    <col min="6640" max="6888" width="8.42578125" style="1"/>
    <col min="6889" max="6889" width="3.42578125" style="1" customWidth="1"/>
    <col min="6890" max="6890" width="38.42578125" style="1" customWidth="1"/>
    <col min="6891" max="6891" width="17.42578125" style="1" customWidth="1"/>
    <col min="6892" max="6892" width="15.140625" style="1" customWidth="1"/>
    <col min="6893" max="6893" width="15.42578125" style="1" customWidth="1"/>
    <col min="6894" max="6894" width="13.140625" style="1" customWidth="1"/>
    <col min="6895" max="6895" width="20.42578125" style="1" customWidth="1"/>
    <col min="6896" max="7144" width="8.42578125" style="1"/>
    <col min="7145" max="7145" width="3.42578125" style="1" customWidth="1"/>
    <col min="7146" max="7146" width="38.42578125" style="1" customWidth="1"/>
    <col min="7147" max="7147" width="17.42578125" style="1" customWidth="1"/>
    <col min="7148" max="7148" width="15.140625" style="1" customWidth="1"/>
    <col min="7149" max="7149" width="15.42578125" style="1" customWidth="1"/>
    <col min="7150" max="7150" width="13.140625" style="1" customWidth="1"/>
    <col min="7151" max="7151" width="20.42578125" style="1" customWidth="1"/>
    <col min="7152" max="7400" width="8.42578125" style="1"/>
    <col min="7401" max="7401" width="3.42578125" style="1" customWidth="1"/>
    <col min="7402" max="7402" width="38.42578125" style="1" customWidth="1"/>
    <col min="7403" max="7403" width="17.42578125" style="1" customWidth="1"/>
    <col min="7404" max="7404" width="15.140625" style="1" customWidth="1"/>
    <col min="7405" max="7405" width="15.42578125" style="1" customWidth="1"/>
    <col min="7406" max="7406" width="13.140625" style="1" customWidth="1"/>
    <col min="7407" max="7407" width="20.42578125" style="1" customWidth="1"/>
    <col min="7408" max="7656" width="8.42578125" style="1"/>
    <col min="7657" max="7657" width="3.42578125" style="1" customWidth="1"/>
    <col min="7658" max="7658" width="38.42578125" style="1" customWidth="1"/>
    <col min="7659" max="7659" width="17.42578125" style="1" customWidth="1"/>
    <col min="7660" max="7660" width="15.140625" style="1" customWidth="1"/>
    <col min="7661" max="7661" width="15.42578125" style="1" customWidth="1"/>
    <col min="7662" max="7662" width="13.140625" style="1" customWidth="1"/>
    <col min="7663" max="7663" width="20.42578125" style="1" customWidth="1"/>
    <col min="7664" max="7912" width="8.42578125" style="1"/>
    <col min="7913" max="7913" width="3.42578125" style="1" customWidth="1"/>
    <col min="7914" max="7914" width="38.42578125" style="1" customWidth="1"/>
    <col min="7915" max="7915" width="17.42578125" style="1" customWidth="1"/>
    <col min="7916" max="7916" width="15.140625" style="1" customWidth="1"/>
    <col min="7917" max="7917" width="15.42578125" style="1" customWidth="1"/>
    <col min="7918" max="7918" width="13.140625" style="1" customWidth="1"/>
    <col min="7919" max="7919" width="20.42578125" style="1" customWidth="1"/>
    <col min="7920" max="8168" width="8.42578125" style="1"/>
    <col min="8169" max="8169" width="3.42578125" style="1" customWidth="1"/>
    <col min="8170" max="8170" width="38.42578125" style="1" customWidth="1"/>
    <col min="8171" max="8171" width="17.42578125" style="1" customWidth="1"/>
    <col min="8172" max="8172" width="15.140625" style="1" customWidth="1"/>
    <col min="8173" max="8173" width="15.42578125" style="1" customWidth="1"/>
    <col min="8174" max="8174" width="13.140625" style="1" customWidth="1"/>
    <col min="8175" max="8175" width="20.42578125" style="1" customWidth="1"/>
    <col min="8176" max="8424" width="8.42578125" style="1"/>
    <col min="8425" max="8425" width="3.42578125" style="1" customWidth="1"/>
    <col min="8426" max="8426" width="38.42578125" style="1" customWidth="1"/>
    <col min="8427" max="8427" width="17.42578125" style="1" customWidth="1"/>
    <col min="8428" max="8428" width="15.140625" style="1" customWidth="1"/>
    <col min="8429" max="8429" width="15.42578125" style="1" customWidth="1"/>
    <col min="8430" max="8430" width="13.140625" style="1" customWidth="1"/>
    <col min="8431" max="8431" width="20.42578125" style="1" customWidth="1"/>
    <col min="8432" max="8680" width="8.42578125" style="1"/>
    <col min="8681" max="8681" width="3.42578125" style="1" customWidth="1"/>
    <col min="8682" max="8682" width="38.42578125" style="1" customWidth="1"/>
    <col min="8683" max="8683" width="17.42578125" style="1" customWidth="1"/>
    <col min="8684" max="8684" width="15.140625" style="1" customWidth="1"/>
    <col min="8685" max="8685" width="15.42578125" style="1" customWidth="1"/>
    <col min="8686" max="8686" width="13.140625" style="1" customWidth="1"/>
    <col min="8687" max="8687" width="20.42578125" style="1" customWidth="1"/>
    <col min="8688" max="8936" width="8.42578125" style="1"/>
    <col min="8937" max="8937" width="3.42578125" style="1" customWidth="1"/>
    <col min="8938" max="8938" width="38.42578125" style="1" customWidth="1"/>
    <col min="8939" max="8939" width="17.42578125" style="1" customWidth="1"/>
    <col min="8940" max="8940" width="15.140625" style="1" customWidth="1"/>
    <col min="8941" max="8941" width="15.42578125" style="1" customWidth="1"/>
    <col min="8942" max="8942" width="13.140625" style="1" customWidth="1"/>
    <col min="8943" max="8943" width="20.42578125" style="1" customWidth="1"/>
    <col min="8944" max="9192" width="8.42578125" style="1"/>
    <col min="9193" max="9193" width="3.42578125" style="1" customWidth="1"/>
    <col min="9194" max="9194" width="38.42578125" style="1" customWidth="1"/>
    <col min="9195" max="9195" width="17.42578125" style="1" customWidth="1"/>
    <col min="9196" max="9196" width="15.140625" style="1" customWidth="1"/>
    <col min="9197" max="9197" width="15.42578125" style="1" customWidth="1"/>
    <col min="9198" max="9198" width="13.140625" style="1" customWidth="1"/>
    <col min="9199" max="9199" width="20.42578125" style="1" customWidth="1"/>
    <col min="9200" max="9448" width="8.42578125" style="1"/>
    <col min="9449" max="9449" width="3.42578125" style="1" customWidth="1"/>
    <col min="9450" max="9450" width="38.42578125" style="1" customWidth="1"/>
    <col min="9451" max="9451" width="17.42578125" style="1" customWidth="1"/>
    <col min="9452" max="9452" width="15.140625" style="1" customWidth="1"/>
    <col min="9453" max="9453" width="15.42578125" style="1" customWidth="1"/>
    <col min="9454" max="9454" width="13.140625" style="1" customWidth="1"/>
    <col min="9455" max="9455" width="20.42578125" style="1" customWidth="1"/>
    <col min="9456" max="9704" width="8.42578125" style="1"/>
    <col min="9705" max="9705" width="3.42578125" style="1" customWidth="1"/>
    <col min="9706" max="9706" width="38.42578125" style="1" customWidth="1"/>
    <col min="9707" max="9707" width="17.42578125" style="1" customWidth="1"/>
    <col min="9708" max="9708" width="15.140625" style="1" customWidth="1"/>
    <col min="9709" max="9709" width="15.42578125" style="1" customWidth="1"/>
    <col min="9710" max="9710" width="13.140625" style="1" customWidth="1"/>
    <col min="9711" max="9711" width="20.42578125" style="1" customWidth="1"/>
    <col min="9712" max="9960" width="8.42578125" style="1"/>
    <col min="9961" max="9961" width="3.42578125" style="1" customWidth="1"/>
    <col min="9962" max="9962" width="38.42578125" style="1" customWidth="1"/>
    <col min="9963" max="9963" width="17.42578125" style="1" customWidth="1"/>
    <col min="9964" max="9964" width="15.140625" style="1" customWidth="1"/>
    <col min="9965" max="9965" width="15.42578125" style="1" customWidth="1"/>
    <col min="9966" max="9966" width="13.140625" style="1" customWidth="1"/>
    <col min="9967" max="9967" width="20.42578125" style="1" customWidth="1"/>
    <col min="9968" max="10216" width="8.42578125" style="1"/>
    <col min="10217" max="10217" width="3.42578125" style="1" customWidth="1"/>
    <col min="10218" max="10218" width="38.42578125" style="1" customWidth="1"/>
    <col min="10219" max="10219" width="17.42578125" style="1" customWidth="1"/>
    <col min="10220" max="10220" width="15.140625" style="1" customWidth="1"/>
    <col min="10221" max="10221" width="15.42578125" style="1" customWidth="1"/>
    <col min="10222" max="10222" width="13.140625" style="1" customWidth="1"/>
    <col min="10223" max="10223" width="20.42578125" style="1" customWidth="1"/>
    <col min="10224" max="10472" width="8.42578125" style="1"/>
    <col min="10473" max="10473" width="3.42578125" style="1" customWidth="1"/>
    <col min="10474" max="10474" width="38.42578125" style="1" customWidth="1"/>
    <col min="10475" max="10475" width="17.42578125" style="1" customWidth="1"/>
    <col min="10476" max="10476" width="15.140625" style="1" customWidth="1"/>
    <col min="10477" max="10477" width="15.42578125" style="1" customWidth="1"/>
    <col min="10478" max="10478" width="13.140625" style="1" customWidth="1"/>
    <col min="10479" max="10479" width="20.42578125" style="1" customWidth="1"/>
    <col min="10480" max="10728" width="8.42578125" style="1"/>
    <col min="10729" max="10729" width="3.42578125" style="1" customWidth="1"/>
    <col min="10730" max="10730" width="38.42578125" style="1" customWidth="1"/>
    <col min="10731" max="10731" width="17.42578125" style="1" customWidth="1"/>
    <col min="10732" max="10732" width="15.140625" style="1" customWidth="1"/>
    <col min="10733" max="10733" width="15.42578125" style="1" customWidth="1"/>
    <col min="10734" max="10734" width="13.140625" style="1" customWidth="1"/>
    <col min="10735" max="10735" width="20.42578125" style="1" customWidth="1"/>
    <col min="10736" max="10984" width="8.42578125" style="1"/>
    <col min="10985" max="10985" width="3.42578125" style="1" customWidth="1"/>
    <col min="10986" max="10986" width="38.42578125" style="1" customWidth="1"/>
    <col min="10987" max="10987" width="17.42578125" style="1" customWidth="1"/>
    <col min="10988" max="10988" width="15.140625" style="1" customWidth="1"/>
    <col min="10989" max="10989" width="15.42578125" style="1" customWidth="1"/>
    <col min="10990" max="10990" width="13.140625" style="1" customWidth="1"/>
    <col min="10991" max="10991" width="20.42578125" style="1" customWidth="1"/>
    <col min="10992" max="11240" width="8.42578125" style="1"/>
    <col min="11241" max="11241" width="3.42578125" style="1" customWidth="1"/>
    <col min="11242" max="11242" width="38.42578125" style="1" customWidth="1"/>
    <col min="11243" max="11243" width="17.42578125" style="1" customWidth="1"/>
    <col min="11244" max="11244" width="15.140625" style="1" customWidth="1"/>
    <col min="11245" max="11245" width="15.42578125" style="1" customWidth="1"/>
    <col min="11246" max="11246" width="13.140625" style="1" customWidth="1"/>
    <col min="11247" max="11247" width="20.42578125" style="1" customWidth="1"/>
    <col min="11248" max="11496" width="8.42578125" style="1"/>
    <col min="11497" max="11497" width="3.42578125" style="1" customWidth="1"/>
    <col min="11498" max="11498" width="38.42578125" style="1" customWidth="1"/>
    <col min="11499" max="11499" width="17.42578125" style="1" customWidth="1"/>
    <col min="11500" max="11500" width="15.140625" style="1" customWidth="1"/>
    <col min="11501" max="11501" width="15.42578125" style="1" customWidth="1"/>
    <col min="11502" max="11502" width="13.140625" style="1" customWidth="1"/>
    <col min="11503" max="11503" width="20.42578125" style="1" customWidth="1"/>
    <col min="11504" max="11752" width="8.42578125" style="1"/>
    <col min="11753" max="11753" width="3.42578125" style="1" customWidth="1"/>
    <col min="11754" max="11754" width="38.42578125" style="1" customWidth="1"/>
    <col min="11755" max="11755" width="17.42578125" style="1" customWidth="1"/>
    <col min="11756" max="11756" width="15.140625" style="1" customWidth="1"/>
    <col min="11757" max="11757" width="15.42578125" style="1" customWidth="1"/>
    <col min="11758" max="11758" width="13.140625" style="1" customWidth="1"/>
    <col min="11759" max="11759" width="20.42578125" style="1" customWidth="1"/>
    <col min="11760" max="12008" width="8.42578125" style="1"/>
    <col min="12009" max="12009" width="3.42578125" style="1" customWidth="1"/>
    <col min="12010" max="12010" width="38.42578125" style="1" customWidth="1"/>
    <col min="12011" max="12011" width="17.42578125" style="1" customWidth="1"/>
    <col min="12012" max="12012" width="15.140625" style="1" customWidth="1"/>
    <col min="12013" max="12013" width="15.42578125" style="1" customWidth="1"/>
    <col min="12014" max="12014" width="13.140625" style="1" customWidth="1"/>
    <col min="12015" max="12015" width="20.42578125" style="1" customWidth="1"/>
    <col min="12016" max="12264" width="8.42578125" style="1"/>
    <col min="12265" max="12265" width="3.42578125" style="1" customWidth="1"/>
    <col min="12266" max="12266" width="38.42578125" style="1" customWidth="1"/>
    <col min="12267" max="12267" width="17.42578125" style="1" customWidth="1"/>
    <col min="12268" max="12268" width="15.140625" style="1" customWidth="1"/>
    <col min="12269" max="12269" width="15.42578125" style="1" customWidth="1"/>
    <col min="12270" max="12270" width="13.140625" style="1" customWidth="1"/>
    <col min="12271" max="12271" width="20.42578125" style="1" customWidth="1"/>
    <col min="12272" max="12520" width="8.42578125" style="1"/>
    <col min="12521" max="12521" width="3.42578125" style="1" customWidth="1"/>
    <col min="12522" max="12522" width="38.42578125" style="1" customWidth="1"/>
    <col min="12523" max="12523" width="17.42578125" style="1" customWidth="1"/>
    <col min="12524" max="12524" width="15.140625" style="1" customWidth="1"/>
    <col min="12525" max="12525" width="15.42578125" style="1" customWidth="1"/>
    <col min="12526" max="12526" width="13.140625" style="1" customWidth="1"/>
    <col min="12527" max="12527" width="20.42578125" style="1" customWidth="1"/>
    <col min="12528" max="12776" width="8.42578125" style="1"/>
    <col min="12777" max="12777" width="3.42578125" style="1" customWidth="1"/>
    <col min="12778" max="12778" width="38.42578125" style="1" customWidth="1"/>
    <col min="12779" max="12779" width="17.42578125" style="1" customWidth="1"/>
    <col min="12780" max="12780" width="15.140625" style="1" customWidth="1"/>
    <col min="12781" max="12781" width="15.42578125" style="1" customWidth="1"/>
    <col min="12782" max="12782" width="13.140625" style="1" customWidth="1"/>
    <col min="12783" max="12783" width="20.42578125" style="1" customWidth="1"/>
    <col min="12784" max="13032" width="8.42578125" style="1"/>
    <col min="13033" max="13033" width="3.42578125" style="1" customWidth="1"/>
    <col min="13034" max="13034" width="38.42578125" style="1" customWidth="1"/>
    <col min="13035" max="13035" width="17.42578125" style="1" customWidth="1"/>
    <col min="13036" max="13036" width="15.140625" style="1" customWidth="1"/>
    <col min="13037" max="13037" width="15.42578125" style="1" customWidth="1"/>
    <col min="13038" max="13038" width="13.140625" style="1" customWidth="1"/>
    <col min="13039" max="13039" width="20.42578125" style="1" customWidth="1"/>
    <col min="13040" max="13288" width="8.42578125" style="1"/>
    <col min="13289" max="13289" width="3.42578125" style="1" customWidth="1"/>
    <col min="13290" max="13290" width="38.42578125" style="1" customWidth="1"/>
    <col min="13291" max="13291" width="17.42578125" style="1" customWidth="1"/>
    <col min="13292" max="13292" width="15.140625" style="1" customWidth="1"/>
    <col min="13293" max="13293" width="15.42578125" style="1" customWidth="1"/>
    <col min="13294" max="13294" width="13.140625" style="1" customWidth="1"/>
    <col min="13295" max="13295" width="20.42578125" style="1" customWidth="1"/>
    <col min="13296" max="13544" width="8.42578125" style="1"/>
    <col min="13545" max="13545" width="3.42578125" style="1" customWidth="1"/>
    <col min="13546" max="13546" width="38.42578125" style="1" customWidth="1"/>
    <col min="13547" max="13547" width="17.42578125" style="1" customWidth="1"/>
    <col min="13548" max="13548" width="15.140625" style="1" customWidth="1"/>
    <col min="13549" max="13549" width="15.42578125" style="1" customWidth="1"/>
    <col min="13550" max="13550" width="13.140625" style="1" customWidth="1"/>
    <col min="13551" max="13551" width="20.42578125" style="1" customWidth="1"/>
    <col min="13552" max="13800" width="8.42578125" style="1"/>
    <col min="13801" max="13801" width="3.42578125" style="1" customWidth="1"/>
    <col min="13802" max="13802" width="38.42578125" style="1" customWidth="1"/>
    <col min="13803" max="13803" width="17.42578125" style="1" customWidth="1"/>
    <col min="13804" max="13804" width="15.140625" style="1" customWidth="1"/>
    <col min="13805" max="13805" width="15.42578125" style="1" customWidth="1"/>
    <col min="13806" max="13806" width="13.140625" style="1" customWidth="1"/>
    <col min="13807" max="13807" width="20.42578125" style="1" customWidth="1"/>
    <col min="13808" max="14056" width="8.42578125" style="1"/>
    <col min="14057" max="14057" width="3.42578125" style="1" customWidth="1"/>
    <col min="14058" max="14058" width="38.42578125" style="1" customWidth="1"/>
    <col min="14059" max="14059" width="17.42578125" style="1" customWidth="1"/>
    <col min="14060" max="14060" width="15.140625" style="1" customWidth="1"/>
    <col min="14061" max="14061" width="15.42578125" style="1" customWidth="1"/>
    <col min="14062" max="14062" width="13.140625" style="1" customWidth="1"/>
    <col min="14063" max="14063" width="20.42578125" style="1" customWidth="1"/>
    <col min="14064" max="14312" width="8.42578125" style="1"/>
    <col min="14313" max="14313" width="3.42578125" style="1" customWidth="1"/>
    <col min="14314" max="14314" width="38.42578125" style="1" customWidth="1"/>
    <col min="14315" max="14315" width="17.42578125" style="1" customWidth="1"/>
    <col min="14316" max="14316" width="15.140625" style="1" customWidth="1"/>
    <col min="14317" max="14317" width="15.42578125" style="1" customWidth="1"/>
    <col min="14318" max="14318" width="13.140625" style="1" customWidth="1"/>
    <col min="14319" max="14319" width="20.42578125" style="1" customWidth="1"/>
    <col min="14320" max="14568" width="8.42578125" style="1"/>
    <col min="14569" max="14569" width="3.42578125" style="1" customWidth="1"/>
    <col min="14570" max="14570" width="38.42578125" style="1" customWidth="1"/>
    <col min="14571" max="14571" width="17.42578125" style="1" customWidth="1"/>
    <col min="14572" max="14572" width="15.140625" style="1" customWidth="1"/>
    <col min="14573" max="14573" width="15.42578125" style="1" customWidth="1"/>
    <col min="14574" max="14574" width="13.140625" style="1" customWidth="1"/>
    <col min="14575" max="14575" width="20.42578125" style="1" customWidth="1"/>
    <col min="14576" max="14824" width="8.42578125" style="1"/>
    <col min="14825" max="14825" width="3.42578125" style="1" customWidth="1"/>
    <col min="14826" max="14826" width="38.42578125" style="1" customWidth="1"/>
    <col min="14827" max="14827" width="17.42578125" style="1" customWidth="1"/>
    <col min="14828" max="14828" width="15.140625" style="1" customWidth="1"/>
    <col min="14829" max="14829" width="15.42578125" style="1" customWidth="1"/>
    <col min="14830" max="14830" width="13.140625" style="1" customWidth="1"/>
    <col min="14831" max="14831" width="20.42578125" style="1" customWidth="1"/>
    <col min="14832" max="15080" width="8.42578125" style="1"/>
    <col min="15081" max="15081" width="3.42578125" style="1" customWidth="1"/>
    <col min="15082" max="15082" width="38.42578125" style="1" customWidth="1"/>
    <col min="15083" max="15083" width="17.42578125" style="1" customWidth="1"/>
    <col min="15084" max="15084" width="15.140625" style="1" customWidth="1"/>
    <col min="15085" max="15085" width="15.42578125" style="1" customWidth="1"/>
    <col min="15086" max="15086" width="13.140625" style="1" customWidth="1"/>
    <col min="15087" max="15087" width="20.42578125" style="1" customWidth="1"/>
    <col min="15088" max="15336" width="8.42578125" style="1"/>
    <col min="15337" max="15337" width="3.42578125" style="1" customWidth="1"/>
    <col min="15338" max="15338" width="38.42578125" style="1" customWidth="1"/>
    <col min="15339" max="15339" width="17.42578125" style="1" customWidth="1"/>
    <col min="15340" max="15340" width="15.140625" style="1" customWidth="1"/>
    <col min="15341" max="15341" width="15.42578125" style="1" customWidth="1"/>
    <col min="15342" max="15342" width="13.140625" style="1" customWidth="1"/>
    <col min="15343" max="15343" width="20.42578125" style="1" customWidth="1"/>
    <col min="15344" max="15592" width="8.42578125" style="1"/>
    <col min="15593" max="15593" width="3.42578125" style="1" customWidth="1"/>
    <col min="15594" max="15594" width="38.42578125" style="1" customWidth="1"/>
    <col min="15595" max="15595" width="17.42578125" style="1" customWidth="1"/>
    <col min="15596" max="15596" width="15.140625" style="1" customWidth="1"/>
    <col min="15597" max="15597" width="15.42578125" style="1" customWidth="1"/>
    <col min="15598" max="15598" width="13.140625" style="1" customWidth="1"/>
    <col min="15599" max="15599" width="20.42578125" style="1" customWidth="1"/>
    <col min="15600" max="15848" width="8.42578125" style="1"/>
    <col min="15849" max="15849" width="3.42578125" style="1" customWidth="1"/>
    <col min="15850" max="15850" width="38.42578125" style="1" customWidth="1"/>
    <col min="15851" max="15851" width="17.42578125" style="1" customWidth="1"/>
    <col min="15852" max="15852" width="15.140625" style="1" customWidth="1"/>
    <col min="15853" max="15853" width="15.42578125" style="1" customWidth="1"/>
    <col min="15854" max="15854" width="13.140625" style="1" customWidth="1"/>
    <col min="15855" max="15855" width="20.42578125" style="1" customWidth="1"/>
    <col min="15856" max="16104" width="8.42578125" style="1"/>
    <col min="16105" max="16105" width="3.42578125" style="1" customWidth="1"/>
    <col min="16106" max="16106" width="38.42578125" style="1" customWidth="1"/>
    <col min="16107" max="16107" width="17.42578125" style="1" customWidth="1"/>
    <col min="16108" max="16108" width="15.140625" style="1" customWidth="1"/>
    <col min="16109" max="16109" width="15.42578125" style="1" customWidth="1"/>
    <col min="16110" max="16110" width="13.140625" style="1" customWidth="1"/>
    <col min="16111" max="16111" width="20.42578125" style="1" customWidth="1"/>
    <col min="16112" max="16369" width="8.42578125" style="1"/>
    <col min="16370" max="16384" width="9.140625" style="1" customWidth="1"/>
  </cols>
  <sheetData>
    <row r="1" spans="1:8" ht="78" customHeight="1" thickBot="1" x14ac:dyDescent="0.3">
      <c r="A1" s="215" t="s">
        <v>420</v>
      </c>
      <c r="B1" s="201"/>
      <c r="C1" s="201"/>
      <c r="D1" s="192"/>
      <c r="E1" s="200" t="s">
        <v>390</v>
      </c>
      <c r="F1" s="213"/>
      <c r="G1" s="214"/>
    </row>
    <row r="2" spans="1:8" ht="26.25" thickBot="1" x14ac:dyDescent="0.3">
      <c r="A2" s="146" t="s">
        <v>0</v>
      </c>
      <c r="B2" s="147" t="s">
        <v>91</v>
      </c>
      <c r="C2" s="147" t="s">
        <v>35</v>
      </c>
      <c r="D2" s="147" t="s">
        <v>92</v>
      </c>
      <c r="E2" s="147" t="s">
        <v>93</v>
      </c>
      <c r="F2" s="147" t="s">
        <v>94</v>
      </c>
      <c r="G2" s="148" t="s">
        <v>36</v>
      </c>
    </row>
    <row r="3" spans="1:8" ht="16.5" thickBot="1" x14ac:dyDescent="0.3">
      <c r="A3" s="103"/>
      <c r="B3" s="40" t="s">
        <v>95</v>
      </c>
      <c r="C3" s="40"/>
      <c r="D3" s="40"/>
      <c r="E3" s="40"/>
      <c r="F3" s="41">
        <v>1</v>
      </c>
      <c r="G3" s="42"/>
      <c r="H3" s="149">
        <f>SUM(G4:G27)</f>
        <v>0</v>
      </c>
    </row>
    <row r="4" spans="1:8" x14ac:dyDescent="0.25">
      <c r="A4" s="150">
        <v>1</v>
      </c>
      <c r="B4" s="3" t="s">
        <v>96</v>
      </c>
      <c r="C4" s="105">
        <v>26</v>
      </c>
      <c r="D4" s="5">
        <v>16</v>
      </c>
      <c r="E4" s="6">
        <v>130</v>
      </c>
      <c r="F4" s="4"/>
      <c r="G4" s="151">
        <f t="shared" ref="G4:G27" si="0">SUM(D4*F4)</f>
        <v>0</v>
      </c>
    </row>
    <row r="5" spans="1:8" x14ac:dyDescent="0.25">
      <c r="A5" s="150">
        <v>2</v>
      </c>
      <c r="B5" s="3" t="s">
        <v>97</v>
      </c>
      <c r="C5" s="105">
        <v>42</v>
      </c>
      <c r="D5" s="5">
        <v>16</v>
      </c>
      <c r="E5" s="7">
        <v>120</v>
      </c>
      <c r="F5" s="4"/>
      <c r="G5" s="151">
        <f t="shared" si="0"/>
        <v>0</v>
      </c>
    </row>
    <row r="6" spans="1:8" x14ac:dyDescent="0.25">
      <c r="A6" s="150">
        <v>3</v>
      </c>
      <c r="B6" s="3" t="s">
        <v>98</v>
      </c>
      <c r="C6" s="105">
        <v>28</v>
      </c>
      <c r="D6" s="5">
        <v>16</v>
      </c>
      <c r="E6" s="7">
        <v>110</v>
      </c>
      <c r="F6" s="4"/>
      <c r="G6" s="151">
        <f t="shared" si="0"/>
        <v>0</v>
      </c>
    </row>
    <row r="7" spans="1:8" x14ac:dyDescent="0.25">
      <c r="A7" s="150">
        <v>4</v>
      </c>
      <c r="B7" s="3" t="s">
        <v>99</v>
      </c>
      <c r="C7" s="105">
        <v>51</v>
      </c>
      <c r="D7" s="5">
        <v>16</v>
      </c>
      <c r="E7" s="7">
        <v>105</v>
      </c>
      <c r="F7" s="4"/>
      <c r="G7" s="151">
        <f t="shared" si="0"/>
        <v>0</v>
      </c>
    </row>
    <row r="8" spans="1:8" x14ac:dyDescent="0.25">
      <c r="A8" s="150">
        <v>5</v>
      </c>
      <c r="B8" s="3" t="s">
        <v>100</v>
      </c>
      <c r="C8" s="105">
        <v>47</v>
      </c>
      <c r="D8" s="5">
        <v>10</v>
      </c>
      <c r="E8" s="7">
        <v>75</v>
      </c>
      <c r="F8" s="4"/>
      <c r="G8" s="151">
        <f t="shared" si="0"/>
        <v>0</v>
      </c>
    </row>
    <row r="9" spans="1:8" x14ac:dyDescent="0.25">
      <c r="A9" s="150">
        <v>6</v>
      </c>
      <c r="B9" s="3" t="s">
        <v>101</v>
      </c>
      <c r="C9" s="106">
        <v>350</v>
      </c>
      <c r="D9" s="5">
        <v>15</v>
      </c>
      <c r="E9" s="6">
        <v>80</v>
      </c>
      <c r="F9" s="4"/>
      <c r="G9" s="151">
        <f t="shared" si="0"/>
        <v>0</v>
      </c>
    </row>
    <row r="10" spans="1:8" x14ac:dyDescent="0.25">
      <c r="A10" s="150">
        <v>7</v>
      </c>
      <c r="B10" s="3" t="s">
        <v>102</v>
      </c>
      <c r="C10" s="106">
        <v>350</v>
      </c>
      <c r="D10" s="5">
        <v>15</v>
      </c>
      <c r="E10" s="6">
        <v>75</v>
      </c>
      <c r="F10" s="4"/>
      <c r="G10" s="151">
        <f t="shared" si="0"/>
        <v>0</v>
      </c>
    </row>
    <row r="11" spans="1:8" x14ac:dyDescent="0.25">
      <c r="A11" s="150">
        <v>8</v>
      </c>
      <c r="B11" s="3" t="s">
        <v>103</v>
      </c>
      <c r="C11" s="106">
        <v>700</v>
      </c>
      <c r="D11" s="5">
        <v>15</v>
      </c>
      <c r="E11" s="7">
        <v>75</v>
      </c>
      <c r="F11" s="4"/>
      <c r="G11" s="151">
        <f t="shared" si="0"/>
        <v>0</v>
      </c>
    </row>
    <row r="12" spans="1:8" x14ac:dyDescent="0.25">
      <c r="A12" s="150">
        <v>9</v>
      </c>
      <c r="B12" s="3" t="s">
        <v>104</v>
      </c>
      <c r="C12" s="105">
        <v>60</v>
      </c>
      <c r="D12" s="5">
        <v>10</v>
      </c>
      <c r="E12" s="6">
        <v>60</v>
      </c>
      <c r="F12" s="4"/>
      <c r="G12" s="151">
        <f t="shared" si="0"/>
        <v>0</v>
      </c>
    </row>
    <row r="13" spans="1:8" x14ac:dyDescent="0.25">
      <c r="A13" s="150">
        <v>10</v>
      </c>
      <c r="B13" s="3" t="s">
        <v>105</v>
      </c>
      <c r="C13" s="105">
        <v>75</v>
      </c>
      <c r="D13" s="5">
        <v>9</v>
      </c>
      <c r="E13" s="7">
        <v>60</v>
      </c>
      <c r="F13" s="4"/>
      <c r="G13" s="151">
        <f t="shared" si="0"/>
        <v>0</v>
      </c>
    </row>
    <row r="14" spans="1:8" x14ac:dyDescent="0.25">
      <c r="A14" s="150">
        <v>11</v>
      </c>
      <c r="B14" s="3" t="s">
        <v>419</v>
      </c>
      <c r="C14" s="106">
        <v>700</v>
      </c>
      <c r="D14" s="5">
        <v>18</v>
      </c>
      <c r="E14" s="10">
        <v>100</v>
      </c>
      <c r="F14" s="49"/>
      <c r="G14" s="151">
        <f t="shared" si="0"/>
        <v>0</v>
      </c>
    </row>
    <row r="15" spans="1:8" x14ac:dyDescent="0.25">
      <c r="A15" s="150">
        <v>12</v>
      </c>
      <c r="B15" s="3" t="s">
        <v>106</v>
      </c>
      <c r="C15" s="107">
        <v>120</v>
      </c>
      <c r="D15" s="5">
        <v>9</v>
      </c>
      <c r="E15" s="7">
        <v>20</v>
      </c>
      <c r="F15" s="4"/>
      <c r="G15" s="151">
        <f t="shared" si="0"/>
        <v>0</v>
      </c>
    </row>
    <row r="16" spans="1:8" x14ac:dyDescent="0.25">
      <c r="A16" s="150">
        <v>13</v>
      </c>
      <c r="B16" s="3" t="s">
        <v>107</v>
      </c>
      <c r="C16" s="107">
        <v>30</v>
      </c>
      <c r="D16" s="5">
        <v>7</v>
      </c>
      <c r="E16" s="10">
        <v>10</v>
      </c>
      <c r="F16" s="49"/>
      <c r="G16" s="151">
        <f t="shared" si="0"/>
        <v>0</v>
      </c>
    </row>
    <row r="17" spans="1:8" x14ac:dyDescent="0.25">
      <c r="A17" s="150">
        <v>14</v>
      </c>
      <c r="B17" s="3" t="s">
        <v>108</v>
      </c>
      <c r="C17" s="107">
        <v>350</v>
      </c>
      <c r="D17" s="5">
        <v>11</v>
      </c>
      <c r="E17" s="7">
        <v>50</v>
      </c>
      <c r="F17" s="4"/>
      <c r="G17" s="151">
        <f t="shared" si="0"/>
        <v>0</v>
      </c>
    </row>
    <row r="18" spans="1:8" x14ac:dyDescent="0.25">
      <c r="A18" s="150">
        <v>15</v>
      </c>
      <c r="B18" s="3" t="s">
        <v>109</v>
      </c>
      <c r="C18" s="107">
        <v>700</v>
      </c>
      <c r="D18" s="5">
        <v>11</v>
      </c>
      <c r="E18" s="7">
        <v>60</v>
      </c>
      <c r="F18" s="4"/>
      <c r="G18" s="151">
        <f t="shared" si="0"/>
        <v>0</v>
      </c>
    </row>
    <row r="19" spans="1:8" x14ac:dyDescent="0.25">
      <c r="A19" s="150">
        <v>16</v>
      </c>
      <c r="B19" s="3" t="s">
        <v>110</v>
      </c>
      <c r="C19" s="4">
        <v>237</v>
      </c>
      <c r="D19" s="5">
        <v>10</v>
      </c>
      <c r="E19" s="10">
        <v>20</v>
      </c>
      <c r="F19" s="49"/>
      <c r="G19" s="151">
        <f t="shared" si="0"/>
        <v>0</v>
      </c>
    </row>
    <row r="20" spans="1:8" x14ac:dyDescent="0.25">
      <c r="A20" s="150">
        <v>17</v>
      </c>
      <c r="B20" s="3" t="s">
        <v>111</v>
      </c>
      <c r="C20" s="157">
        <v>10</v>
      </c>
      <c r="D20" s="5">
        <v>10</v>
      </c>
      <c r="E20" s="10">
        <v>20</v>
      </c>
      <c r="F20" s="49"/>
      <c r="G20" s="151">
        <f t="shared" si="0"/>
        <v>0</v>
      </c>
    </row>
    <row r="21" spans="1:8" x14ac:dyDescent="0.25">
      <c r="A21" s="150">
        <v>18</v>
      </c>
      <c r="B21" s="3" t="s">
        <v>112</v>
      </c>
      <c r="C21" s="157">
        <v>30</v>
      </c>
      <c r="D21" s="5">
        <v>10</v>
      </c>
      <c r="E21" s="7">
        <v>30</v>
      </c>
      <c r="F21" s="4"/>
      <c r="G21" s="151">
        <f t="shared" si="0"/>
        <v>0</v>
      </c>
    </row>
    <row r="22" spans="1:8" x14ac:dyDescent="0.25">
      <c r="A22" s="150">
        <v>19</v>
      </c>
      <c r="B22" s="3" t="s">
        <v>113</v>
      </c>
      <c r="C22" s="4">
        <v>40</v>
      </c>
      <c r="D22" s="5">
        <v>15</v>
      </c>
      <c r="E22" s="7">
        <v>60</v>
      </c>
      <c r="F22" s="4"/>
      <c r="G22" s="151">
        <f t="shared" si="0"/>
        <v>0</v>
      </c>
    </row>
    <row r="23" spans="1:8" x14ac:dyDescent="0.25">
      <c r="A23" s="150">
        <v>20</v>
      </c>
      <c r="B23" s="3" t="s">
        <v>114</v>
      </c>
      <c r="C23" s="4">
        <v>40</v>
      </c>
      <c r="D23" s="5">
        <v>12</v>
      </c>
      <c r="E23" s="7">
        <v>90</v>
      </c>
      <c r="F23" s="4"/>
      <c r="G23" s="151">
        <f t="shared" si="0"/>
        <v>0</v>
      </c>
    </row>
    <row r="24" spans="1:8" x14ac:dyDescent="0.25">
      <c r="A24" s="150">
        <v>21</v>
      </c>
      <c r="B24" s="3" t="s">
        <v>115</v>
      </c>
      <c r="C24" s="107">
        <v>60</v>
      </c>
      <c r="D24" s="5">
        <v>25</v>
      </c>
      <c r="E24" s="7">
        <v>130</v>
      </c>
      <c r="F24" s="4"/>
      <c r="G24" s="151">
        <f t="shared" si="0"/>
        <v>0</v>
      </c>
    </row>
    <row r="25" spans="1:8" x14ac:dyDescent="0.25">
      <c r="A25" s="150">
        <v>22</v>
      </c>
      <c r="B25" s="3" t="s">
        <v>116</v>
      </c>
      <c r="C25" s="4">
        <v>7</v>
      </c>
      <c r="D25" s="5">
        <v>25</v>
      </c>
      <c r="E25" s="7">
        <v>120</v>
      </c>
      <c r="F25" s="4"/>
      <c r="G25" s="151">
        <f t="shared" si="0"/>
        <v>0</v>
      </c>
    </row>
    <row r="26" spans="1:8" x14ac:dyDescent="0.25">
      <c r="A26" s="150">
        <v>23</v>
      </c>
      <c r="B26" s="3" t="s">
        <v>117</v>
      </c>
      <c r="C26" s="107">
        <v>24</v>
      </c>
      <c r="D26" s="5">
        <v>25</v>
      </c>
      <c r="E26" s="7">
        <v>150</v>
      </c>
      <c r="F26" s="4"/>
      <c r="G26" s="151">
        <f t="shared" si="0"/>
        <v>0</v>
      </c>
    </row>
    <row r="27" spans="1:8" ht="15.75" thickBot="1" x14ac:dyDescent="0.3">
      <c r="A27" s="150">
        <v>24</v>
      </c>
      <c r="B27" s="3" t="s">
        <v>118</v>
      </c>
      <c r="C27" s="4">
        <v>12</v>
      </c>
      <c r="D27" s="5">
        <v>20</v>
      </c>
      <c r="E27" s="7">
        <v>75</v>
      </c>
      <c r="F27" s="4"/>
      <c r="G27" s="151">
        <f t="shared" si="0"/>
        <v>0</v>
      </c>
    </row>
    <row r="28" spans="1:8" ht="16.5" thickBot="1" x14ac:dyDescent="0.3">
      <c r="A28" s="103"/>
      <c r="B28" s="40" t="s">
        <v>2</v>
      </c>
      <c r="C28" s="40"/>
      <c r="D28" s="40"/>
      <c r="E28" s="40"/>
      <c r="F28" s="41">
        <v>1</v>
      </c>
      <c r="G28" s="42"/>
      <c r="H28" s="149">
        <f>SUM(G30:G43)</f>
        <v>880</v>
      </c>
    </row>
    <row r="29" spans="1:8" ht="24" customHeight="1" x14ac:dyDescent="0.25">
      <c r="A29" s="152" t="s">
        <v>0</v>
      </c>
      <c r="B29" s="43" t="s">
        <v>91</v>
      </c>
      <c r="C29" s="43"/>
      <c r="D29" s="43" t="s">
        <v>92</v>
      </c>
      <c r="E29" s="43" t="s">
        <v>93</v>
      </c>
      <c r="F29" s="43" t="s">
        <v>94</v>
      </c>
      <c r="G29" s="153" t="s">
        <v>36</v>
      </c>
    </row>
    <row r="30" spans="1:8" x14ac:dyDescent="0.25">
      <c r="A30" s="150">
        <v>1</v>
      </c>
      <c r="B30" s="3" t="s">
        <v>119</v>
      </c>
      <c r="C30" s="4">
        <v>197</v>
      </c>
      <c r="D30" s="5">
        <v>12</v>
      </c>
      <c r="E30" s="9">
        <v>200</v>
      </c>
      <c r="F30" s="4">
        <v>40</v>
      </c>
      <c r="G30" s="151">
        <f>D30*F30</f>
        <v>480</v>
      </c>
    </row>
    <row r="31" spans="1:8" x14ac:dyDescent="0.25">
      <c r="A31" s="150">
        <v>2</v>
      </c>
      <c r="B31" s="3" t="s">
        <v>120</v>
      </c>
      <c r="C31" s="107">
        <v>20</v>
      </c>
      <c r="D31" s="5">
        <v>12</v>
      </c>
      <c r="E31" s="9">
        <v>150</v>
      </c>
      <c r="F31" s="4"/>
      <c r="G31" s="151">
        <f t="shared" ref="G31:G43" si="1">D31*F31</f>
        <v>0</v>
      </c>
    </row>
    <row r="32" spans="1:8" x14ac:dyDescent="0.25">
      <c r="A32" s="150">
        <v>3</v>
      </c>
      <c r="B32" s="3" t="s">
        <v>121</v>
      </c>
      <c r="C32" s="4">
        <v>9</v>
      </c>
      <c r="D32" s="5">
        <v>10</v>
      </c>
      <c r="E32" s="9">
        <v>140</v>
      </c>
      <c r="F32" s="4"/>
      <c r="G32" s="151">
        <f t="shared" si="1"/>
        <v>0</v>
      </c>
    </row>
    <row r="33" spans="1:8" x14ac:dyDescent="0.25">
      <c r="A33" s="150">
        <v>4</v>
      </c>
      <c r="B33" s="3" t="s">
        <v>122</v>
      </c>
      <c r="C33" s="4">
        <v>3</v>
      </c>
      <c r="D33" s="5">
        <v>8</v>
      </c>
      <c r="E33" s="9">
        <v>120</v>
      </c>
      <c r="F33" s="4"/>
      <c r="G33" s="151">
        <f t="shared" si="1"/>
        <v>0</v>
      </c>
    </row>
    <row r="34" spans="1:8" x14ac:dyDescent="0.25">
      <c r="A34" s="150">
        <v>5</v>
      </c>
      <c r="B34" s="3" t="s">
        <v>123</v>
      </c>
      <c r="C34" s="4">
        <v>1</v>
      </c>
      <c r="D34" s="5">
        <v>50</v>
      </c>
      <c r="E34" s="9">
        <v>450</v>
      </c>
      <c r="F34" s="4"/>
      <c r="G34" s="151">
        <f t="shared" si="1"/>
        <v>0</v>
      </c>
    </row>
    <row r="35" spans="1:8" x14ac:dyDescent="0.25">
      <c r="A35" s="150">
        <v>6</v>
      </c>
      <c r="B35" s="3" t="s">
        <v>124</v>
      </c>
      <c r="C35" s="4">
        <v>1</v>
      </c>
      <c r="D35" s="5">
        <v>10</v>
      </c>
      <c r="E35" s="9">
        <v>290</v>
      </c>
      <c r="F35" s="4"/>
      <c r="G35" s="151">
        <f t="shared" si="1"/>
        <v>0</v>
      </c>
    </row>
    <row r="36" spans="1:8" x14ac:dyDescent="0.25">
      <c r="A36" s="150">
        <v>7</v>
      </c>
      <c r="B36" s="3" t="s">
        <v>125</v>
      </c>
      <c r="C36" s="4">
        <v>57</v>
      </c>
      <c r="D36" s="5">
        <v>30</v>
      </c>
      <c r="E36" s="9">
        <v>240</v>
      </c>
      <c r="F36" s="4"/>
      <c r="G36" s="151">
        <f t="shared" si="1"/>
        <v>0</v>
      </c>
    </row>
    <row r="37" spans="1:8" x14ac:dyDescent="0.25">
      <c r="A37" s="150">
        <v>8</v>
      </c>
      <c r="B37" s="3" t="s">
        <v>126</v>
      </c>
      <c r="C37" s="4">
        <v>53</v>
      </c>
      <c r="D37" s="5">
        <v>15</v>
      </c>
      <c r="E37" s="9">
        <v>150</v>
      </c>
      <c r="F37" s="4"/>
      <c r="G37" s="151">
        <f t="shared" si="1"/>
        <v>0</v>
      </c>
    </row>
    <row r="38" spans="1:8" x14ac:dyDescent="0.25">
      <c r="A38" s="150">
        <v>9</v>
      </c>
      <c r="B38" s="3" t="s">
        <v>127</v>
      </c>
      <c r="C38" s="4">
        <v>75</v>
      </c>
      <c r="D38" s="5">
        <v>10</v>
      </c>
      <c r="E38" s="9">
        <v>130</v>
      </c>
      <c r="F38" s="4">
        <v>40</v>
      </c>
      <c r="G38" s="151">
        <f t="shared" si="1"/>
        <v>400</v>
      </c>
    </row>
    <row r="39" spans="1:8" x14ac:dyDescent="0.25">
      <c r="A39" s="150">
        <v>10</v>
      </c>
      <c r="B39" s="3" t="s">
        <v>128</v>
      </c>
      <c r="C39" s="4">
        <v>24</v>
      </c>
      <c r="D39" s="5">
        <v>15</v>
      </c>
      <c r="E39" s="9">
        <v>280</v>
      </c>
      <c r="F39" s="4"/>
      <c r="G39" s="151">
        <f t="shared" si="1"/>
        <v>0</v>
      </c>
    </row>
    <row r="40" spans="1:8" x14ac:dyDescent="0.25">
      <c r="A40" s="150">
        <v>11</v>
      </c>
      <c r="B40" s="3" t="s">
        <v>129</v>
      </c>
      <c r="C40" s="4">
        <v>142</v>
      </c>
      <c r="D40" s="5">
        <v>10</v>
      </c>
      <c r="E40" s="9">
        <v>110</v>
      </c>
      <c r="F40" s="4"/>
      <c r="G40" s="151">
        <f t="shared" si="1"/>
        <v>0</v>
      </c>
    </row>
    <row r="41" spans="1:8" x14ac:dyDescent="0.25">
      <c r="A41" s="150">
        <v>12</v>
      </c>
      <c r="B41" s="3" t="s">
        <v>130</v>
      </c>
      <c r="C41" s="4">
        <v>130</v>
      </c>
      <c r="D41" s="5">
        <v>12</v>
      </c>
      <c r="E41" s="9">
        <v>190</v>
      </c>
      <c r="F41" s="4"/>
      <c r="G41" s="151">
        <f t="shared" si="1"/>
        <v>0</v>
      </c>
    </row>
    <row r="42" spans="1:8" x14ac:dyDescent="0.25">
      <c r="A42" s="150">
        <v>13</v>
      </c>
      <c r="B42" s="3" t="s">
        <v>131</v>
      </c>
      <c r="C42" s="4">
        <v>106</v>
      </c>
      <c r="D42" s="5">
        <v>15</v>
      </c>
      <c r="E42" s="9">
        <v>260</v>
      </c>
      <c r="F42" s="4"/>
      <c r="G42" s="151">
        <f t="shared" si="1"/>
        <v>0</v>
      </c>
    </row>
    <row r="43" spans="1:8" ht="15.75" thickBot="1" x14ac:dyDescent="0.3">
      <c r="A43" s="150">
        <v>14</v>
      </c>
      <c r="B43" s="3" t="s">
        <v>132</v>
      </c>
      <c r="C43" s="4">
        <v>114</v>
      </c>
      <c r="D43" s="5">
        <v>10</v>
      </c>
      <c r="E43" s="9">
        <v>180</v>
      </c>
      <c r="F43" s="4"/>
      <c r="G43" s="151">
        <f t="shared" si="1"/>
        <v>0</v>
      </c>
    </row>
    <row r="44" spans="1:8" ht="16.5" thickBot="1" x14ac:dyDescent="0.3">
      <c r="A44" s="103"/>
      <c r="B44" s="40" t="s">
        <v>27</v>
      </c>
      <c r="C44" s="40"/>
      <c r="D44" s="40"/>
      <c r="E44" s="40"/>
      <c r="F44" s="41">
        <v>1</v>
      </c>
      <c r="G44" s="42"/>
      <c r="H44" s="149">
        <f>SUM(G46:G50)</f>
        <v>0</v>
      </c>
    </row>
    <row r="45" spans="1:8" ht="24" customHeight="1" x14ac:dyDescent="0.25">
      <c r="A45" s="152" t="s">
        <v>0</v>
      </c>
      <c r="B45" s="43" t="s">
        <v>91</v>
      </c>
      <c r="C45" s="43"/>
      <c r="D45" s="43" t="s">
        <v>92</v>
      </c>
      <c r="E45" s="43" t="s">
        <v>93</v>
      </c>
      <c r="F45" s="43" t="s">
        <v>94</v>
      </c>
      <c r="G45" s="153" t="s">
        <v>36</v>
      </c>
    </row>
    <row r="46" spans="1:8" x14ac:dyDescent="0.25">
      <c r="A46" s="150">
        <v>1</v>
      </c>
      <c r="B46" s="3" t="s">
        <v>133</v>
      </c>
      <c r="C46" s="4">
        <v>53</v>
      </c>
      <c r="D46" s="5">
        <v>10</v>
      </c>
      <c r="E46" s="9">
        <v>80</v>
      </c>
      <c r="F46" s="4"/>
      <c r="G46" s="137">
        <f t="shared" ref="G46:G50" si="2">D46*F46</f>
        <v>0</v>
      </c>
    </row>
    <row r="47" spans="1:8" x14ac:dyDescent="0.25">
      <c r="A47" s="150">
        <v>2</v>
      </c>
      <c r="B47" s="3" t="s">
        <v>134</v>
      </c>
      <c r="C47" s="4">
        <v>57</v>
      </c>
      <c r="D47" s="5">
        <v>10</v>
      </c>
      <c r="E47" s="9">
        <v>80</v>
      </c>
      <c r="F47" s="4"/>
      <c r="G47" s="137">
        <f t="shared" si="2"/>
        <v>0</v>
      </c>
    </row>
    <row r="48" spans="1:8" x14ac:dyDescent="0.25">
      <c r="A48" s="150">
        <v>3</v>
      </c>
      <c r="B48" s="3" t="s">
        <v>135</v>
      </c>
      <c r="C48" s="4">
        <v>47</v>
      </c>
      <c r="D48" s="5">
        <v>10</v>
      </c>
      <c r="E48" s="10">
        <v>120</v>
      </c>
      <c r="F48" s="49"/>
      <c r="G48" s="151">
        <f t="shared" si="2"/>
        <v>0</v>
      </c>
    </row>
    <row r="49" spans="1:23" x14ac:dyDescent="0.25">
      <c r="A49" s="150">
        <v>4</v>
      </c>
      <c r="B49" s="3" t="s">
        <v>136</v>
      </c>
      <c r="C49" s="4">
        <v>79</v>
      </c>
      <c r="D49" s="5">
        <v>12</v>
      </c>
      <c r="E49" s="10">
        <v>80</v>
      </c>
      <c r="F49" s="49"/>
      <c r="G49" s="151">
        <f t="shared" si="2"/>
        <v>0</v>
      </c>
    </row>
    <row r="50" spans="1:23" ht="15.75" thickBot="1" x14ac:dyDescent="0.3">
      <c r="A50" s="150">
        <v>5</v>
      </c>
      <c r="B50" s="3" t="s">
        <v>137</v>
      </c>
      <c r="C50" s="4">
        <v>80</v>
      </c>
      <c r="D50" s="5">
        <v>8</v>
      </c>
      <c r="E50" s="10">
        <v>60</v>
      </c>
      <c r="F50" s="49"/>
      <c r="G50" s="151">
        <f t="shared" si="2"/>
        <v>0</v>
      </c>
    </row>
    <row r="51" spans="1:23" ht="16.5" thickBot="1" x14ac:dyDescent="0.3">
      <c r="A51" s="103"/>
      <c r="B51" s="40" t="s">
        <v>138</v>
      </c>
      <c r="C51" s="40"/>
      <c r="D51" s="40"/>
      <c r="E51" s="40"/>
      <c r="F51" s="41">
        <v>1</v>
      </c>
      <c r="G51" s="42"/>
      <c r="H51" s="149">
        <f>SUM(G53:G80)</f>
        <v>400</v>
      </c>
    </row>
    <row r="52" spans="1:23" ht="24" customHeight="1" x14ac:dyDescent="0.25">
      <c r="A52" s="152" t="s">
        <v>0</v>
      </c>
      <c r="B52" s="43" t="s">
        <v>91</v>
      </c>
      <c r="C52" s="43"/>
      <c r="D52" s="43" t="s">
        <v>92</v>
      </c>
      <c r="E52" s="43" t="s">
        <v>93</v>
      </c>
      <c r="F52" s="43" t="s">
        <v>94</v>
      </c>
      <c r="G52" s="153" t="s">
        <v>36</v>
      </c>
    </row>
    <row r="53" spans="1:23" s="112" customFormat="1" x14ac:dyDescent="0.25">
      <c r="A53" s="154">
        <v>1</v>
      </c>
      <c r="B53" s="108" t="s">
        <v>37</v>
      </c>
      <c r="C53" s="106">
        <v>99</v>
      </c>
      <c r="D53" s="109">
        <v>5</v>
      </c>
      <c r="E53" s="110">
        <v>30</v>
      </c>
      <c r="F53" s="111">
        <v>40</v>
      </c>
      <c r="G53" s="155">
        <f>D53*F53</f>
        <v>200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s="112" customFormat="1" x14ac:dyDescent="0.25">
      <c r="A54" s="154">
        <v>2</v>
      </c>
      <c r="B54" s="108" t="s">
        <v>403</v>
      </c>
      <c r="C54" s="106">
        <v>58</v>
      </c>
      <c r="D54" s="109">
        <v>5</v>
      </c>
      <c r="E54" s="110">
        <v>50</v>
      </c>
      <c r="F54" s="111">
        <v>40</v>
      </c>
      <c r="G54" s="155">
        <f t="shared" ref="G54:G80" si="3">D54*F54</f>
        <v>200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s="112" customFormat="1" x14ac:dyDescent="0.25">
      <c r="A55" s="154">
        <v>3</v>
      </c>
      <c r="B55" s="108" t="s">
        <v>139</v>
      </c>
      <c r="C55" s="106">
        <v>60</v>
      </c>
      <c r="D55" s="109">
        <v>6</v>
      </c>
      <c r="E55" s="110">
        <v>60</v>
      </c>
      <c r="F55" s="111"/>
      <c r="G55" s="155">
        <f t="shared" si="3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112" customFormat="1" x14ac:dyDescent="0.25">
      <c r="A56" s="154">
        <v>4</v>
      </c>
      <c r="B56" s="108" t="s">
        <v>140</v>
      </c>
      <c r="C56" s="106"/>
      <c r="D56" s="109">
        <v>6</v>
      </c>
      <c r="E56" s="110">
        <v>70</v>
      </c>
      <c r="F56" s="111"/>
      <c r="G56" s="155">
        <f t="shared" si="3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112" customFormat="1" x14ac:dyDescent="0.25">
      <c r="A57" s="154">
        <v>5</v>
      </c>
      <c r="B57" s="108" t="s">
        <v>141</v>
      </c>
      <c r="C57" s="106">
        <v>120</v>
      </c>
      <c r="D57" s="109">
        <v>5</v>
      </c>
      <c r="E57" s="110">
        <v>30</v>
      </c>
      <c r="F57" s="111"/>
      <c r="G57" s="155">
        <f t="shared" si="3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s="112" customFormat="1" x14ac:dyDescent="0.25">
      <c r="A58" s="154">
        <v>6</v>
      </c>
      <c r="B58" s="108" t="s">
        <v>142</v>
      </c>
      <c r="C58" s="106">
        <v>120</v>
      </c>
      <c r="D58" s="109">
        <v>7</v>
      </c>
      <c r="E58" s="110">
        <v>60</v>
      </c>
      <c r="F58" s="111"/>
      <c r="G58" s="155">
        <f t="shared" si="3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112" customFormat="1" x14ac:dyDescent="0.25">
      <c r="A59" s="154">
        <v>7</v>
      </c>
      <c r="B59" s="108" t="s">
        <v>143</v>
      </c>
      <c r="C59" s="106">
        <v>120</v>
      </c>
      <c r="D59" s="109">
        <v>7</v>
      </c>
      <c r="E59" s="110">
        <v>60</v>
      </c>
      <c r="F59" s="111"/>
      <c r="G59" s="155">
        <f t="shared" si="3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s="112" customFormat="1" x14ac:dyDescent="0.25">
      <c r="A60" s="154">
        <v>8</v>
      </c>
      <c r="B60" s="108" t="s">
        <v>144</v>
      </c>
      <c r="C60" s="106">
        <v>120</v>
      </c>
      <c r="D60" s="109">
        <v>7</v>
      </c>
      <c r="E60" s="110">
        <v>60</v>
      </c>
      <c r="F60" s="111"/>
      <c r="G60" s="155">
        <f t="shared" si="3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s="112" customFormat="1" x14ac:dyDescent="0.25">
      <c r="A61" s="154">
        <v>9</v>
      </c>
      <c r="B61" s="108" t="s">
        <v>145</v>
      </c>
      <c r="C61" s="105">
        <v>29</v>
      </c>
      <c r="D61" s="109">
        <v>5</v>
      </c>
      <c r="E61" s="110">
        <v>40</v>
      </c>
      <c r="F61" s="105"/>
      <c r="G61" s="155">
        <f t="shared" si="3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s="112" customFormat="1" x14ac:dyDescent="0.25">
      <c r="A62" s="154">
        <v>10</v>
      </c>
      <c r="B62" s="108" t="s">
        <v>146</v>
      </c>
      <c r="C62" s="105">
        <v>26</v>
      </c>
      <c r="D62" s="109">
        <v>5</v>
      </c>
      <c r="E62" s="110">
        <v>40</v>
      </c>
      <c r="F62" s="105"/>
      <c r="G62" s="155">
        <f t="shared" si="3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s="112" customFormat="1" x14ac:dyDescent="0.25">
      <c r="A63" s="154">
        <v>11</v>
      </c>
      <c r="B63" s="108" t="s">
        <v>147</v>
      </c>
      <c r="C63" s="105">
        <v>15</v>
      </c>
      <c r="D63" s="109">
        <v>8</v>
      </c>
      <c r="E63" s="110">
        <v>70</v>
      </c>
      <c r="F63" s="105"/>
      <c r="G63" s="155">
        <f t="shared" si="3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s="112" customFormat="1" x14ac:dyDescent="0.25">
      <c r="A64" s="154">
        <v>12</v>
      </c>
      <c r="B64" s="108" t="s">
        <v>148</v>
      </c>
      <c r="C64" s="105">
        <v>60</v>
      </c>
      <c r="D64" s="109">
        <v>8</v>
      </c>
      <c r="E64" s="110">
        <v>70</v>
      </c>
      <c r="F64" s="105"/>
      <c r="G64" s="155">
        <f t="shared" si="3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s="112" customFormat="1" x14ac:dyDescent="0.25">
      <c r="A65" s="154">
        <v>13</v>
      </c>
      <c r="B65" s="108" t="s">
        <v>149</v>
      </c>
      <c r="C65" s="105">
        <v>55</v>
      </c>
      <c r="D65" s="109">
        <v>8</v>
      </c>
      <c r="E65" s="110">
        <v>70</v>
      </c>
      <c r="F65" s="105"/>
      <c r="G65" s="155">
        <f t="shared" si="3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s="112" customFormat="1" x14ac:dyDescent="0.25">
      <c r="A66" s="154">
        <v>14</v>
      </c>
      <c r="B66" s="108" t="s">
        <v>150</v>
      </c>
      <c r="C66" s="105">
        <v>55</v>
      </c>
      <c r="D66" s="109">
        <v>8</v>
      </c>
      <c r="E66" s="110">
        <v>70</v>
      </c>
      <c r="F66" s="105"/>
      <c r="G66" s="155">
        <f t="shared" si="3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s="112" customFormat="1" x14ac:dyDescent="0.25">
      <c r="A67" s="154">
        <v>15</v>
      </c>
      <c r="B67" s="108" t="s">
        <v>151</v>
      </c>
      <c r="C67" s="105">
        <v>62</v>
      </c>
      <c r="D67" s="109">
        <v>8</v>
      </c>
      <c r="E67" s="110">
        <v>70</v>
      </c>
      <c r="F67" s="105"/>
      <c r="G67" s="155">
        <f t="shared" si="3"/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s="112" customFormat="1" x14ac:dyDescent="0.25">
      <c r="A68" s="154">
        <v>16</v>
      </c>
      <c r="B68" s="108" t="s">
        <v>38</v>
      </c>
      <c r="C68" s="105">
        <v>1</v>
      </c>
      <c r="D68" s="109">
        <v>50</v>
      </c>
      <c r="E68" s="110">
        <v>500</v>
      </c>
      <c r="F68" s="105"/>
      <c r="G68" s="155">
        <f t="shared" si="3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s="112" customFormat="1" x14ac:dyDescent="0.25">
      <c r="A69" s="154">
        <v>17</v>
      </c>
      <c r="B69" s="108" t="s">
        <v>152</v>
      </c>
      <c r="C69" s="105">
        <v>72</v>
      </c>
      <c r="D69" s="109">
        <v>50</v>
      </c>
      <c r="E69" s="110">
        <v>120</v>
      </c>
      <c r="F69" s="105"/>
      <c r="G69" s="155">
        <f t="shared" si="3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s="112" customFormat="1" x14ac:dyDescent="0.25">
      <c r="A70" s="154">
        <v>18</v>
      </c>
      <c r="B70" s="108" t="s">
        <v>153</v>
      </c>
      <c r="C70" s="105">
        <v>72</v>
      </c>
      <c r="D70" s="109">
        <v>50</v>
      </c>
      <c r="E70" s="110">
        <v>120</v>
      </c>
      <c r="F70" s="105"/>
      <c r="G70" s="155">
        <f t="shared" si="3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s="112" customFormat="1" x14ac:dyDescent="0.25">
      <c r="A71" s="154">
        <v>19</v>
      </c>
      <c r="B71" s="108" t="s">
        <v>154</v>
      </c>
      <c r="C71" s="105">
        <v>72</v>
      </c>
      <c r="D71" s="109">
        <v>50</v>
      </c>
      <c r="E71" s="110">
        <v>120</v>
      </c>
      <c r="F71" s="105"/>
      <c r="G71" s="155">
        <f t="shared" si="3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s="112" customFormat="1" x14ac:dyDescent="0.25">
      <c r="A72" s="154">
        <v>20</v>
      </c>
      <c r="B72" s="108" t="s">
        <v>399</v>
      </c>
      <c r="C72" s="105">
        <v>72</v>
      </c>
      <c r="D72" s="109">
        <v>50</v>
      </c>
      <c r="E72" s="110">
        <v>120</v>
      </c>
      <c r="F72" s="105"/>
      <c r="G72" s="155">
        <f t="shared" ref="G72" si="4">D72*F72</f>
        <v>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s="112" customFormat="1" x14ac:dyDescent="0.25">
      <c r="A73" s="154">
        <v>21</v>
      </c>
      <c r="B73" s="108" t="s">
        <v>155</v>
      </c>
      <c r="C73" s="105">
        <v>1</v>
      </c>
      <c r="D73" s="109">
        <v>100</v>
      </c>
      <c r="E73" s="110">
        <v>800</v>
      </c>
      <c r="F73" s="105"/>
      <c r="G73" s="155">
        <f t="shared" si="3"/>
        <v>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s="112" customFormat="1" x14ac:dyDescent="0.25">
      <c r="A74" s="154">
        <v>22</v>
      </c>
      <c r="B74" s="108" t="s">
        <v>156</v>
      </c>
      <c r="C74" s="106">
        <v>40</v>
      </c>
      <c r="D74" s="109">
        <v>5</v>
      </c>
      <c r="E74" s="110">
        <v>50</v>
      </c>
      <c r="F74" s="105"/>
      <c r="G74" s="155">
        <f t="shared" si="3"/>
        <v>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s="112" customFormat="1" x14ac:dyDescent="0.25">
      <c r="A75" s="154">
        <v>23</v>
      </c>
      <c r="B75" s="108" t="s">
        <v>157</v>
      </c>
      <c r="C75" s="106">
        <v>60</v>
      </c>
      <c r="D75" s="109">
        <v>13</v>
      </c>
      <c r="E75" s="110">
        <v>100</v>
      </c>
      <c r="F75" s="105"/>
      <c r="G75" s="155">
        <f t="shared" si="3"/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s="112" customFormat="1" x14ac:dyDescent="0.25">
      <c r="A76" s="154">
        <v>24</v>
      </c>
      <c r="B76" s="108" t="s">
        <v>158</v>
      </c>
      <c r="C76" s="106">
        <v>8</v>
      </c>
      <c r="D76" s="109">
        <v>20</v>
      </c>
      <c r="E76" s="110">
        <v>150</v>
      </c>
      <c r="F76" s="105"/>
      <c r="G76" s="155">
        <f t="shared" si="3"/>
        <v>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s="112" customFormat="1" x14ac:dyDescent="0.25">
      <c r="A77" s="154">
        <v>25</v>
      </c>
      <c r="B77" s="108" t="s">
        <v>159</v>
      </c>
      <c r="C77" s="106">
        <v>8</v>
      </c>
      <c r="D77" s="109">
        <v>20</v>
      </c>
      <c r="E77" s="110">
        <v>150</v>
      </c>
      <c r="F77" s="105"/>
      <c r="G77" s="155">
        <f t="shared" si="3"/>
        <v>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s="112" customFormat="1" ht="14.25" customHeight="1" x14ac:dyDescent="0.25">
      <c r="A78" s="154">
        <v>26</v>
      </c>
      <c r="B78" s="108" t="s">
        <v>160</v>
      </c>
      <c r="C78" s="106">
        <v>8</v>
      </c>
      <c r="D78" s="109">
        <v>20</v>
      </c>
      <c r="E78" s="110">
        <v>150</v>
      </c>
      <c r="F78" s="105"/>
      <c r="G78" s="155">
        <f t="shared" si="3"/>
        <v>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s="112" customFormat="1" x14ac:dyDescent="0.25">
      <c r="A79" s="154">
        <v>27</v>
      </c>
      <c r="B79" s="108" t="s">
        <v>161</v>
      </c>
      <c r="C79" s="106">
        <v>8</v>
      </c>
      <c r="D79" s="109">
        <v>16</v>
      </c>
      <c r="E79" s="110">
        <v>100</v>
      </c>
      <c r="F79" s="105"/>
      <c r="G79" s="155">
        <f t="shared" si="3"/>
        <v>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s="112" customFormat="1" ht="15.75" thickBot="1" x14ac:dyDescent="0.3">
      <c r="A80" s="154">
        <v>28</v>
      </c>
      <c r="B80" s="108" t="s">
        <v>162</v>
      </c>
      <c r="C80" s="106">
        <v>8</v>
      </c>
      <c r="D80" s="109">
        <v>16</v>
      </c>
      <c r="E80" s="110">
        <v>100</v>
      </c>
      <c r="F80" s="105"/>
      <c r="G80" s="155">
        <f t="shared" si="3"/>
        <v>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8" ht="16.5" thickBot="1" x14ac:dyDescent="0.3">
      <c r="A81" s="103"/>
      <c r="B81" s="40" t="s">
        <v>3</v>
      </c>
      <c r="C81" s="40"/>
      <c r="D81" s="40"/>
      <c r="E81" s="40"/>
      <c r="F81" s="41">
        <v>1</v>
      </c>
      <c r="G81" s="42"/>
      <c r="H81" s="149">
        <f>SUM(G83:G111)</f>
        <v>440</v>
      </c>
    </row>
    <row r="82" spans="1:8" ht="24" customHeight="1" x14ac:dyDescent="0.25">
      <c r="A82" s="152" t="s">
        <v>0</v>
      </c>
      <c r="B82" s="43" t="s">
        <v>91</v>
      </c>
      <c r="C82" s="43"/>
      <c r="D82" s="43" t="s">
        <v>92</v>
      </c>
      <c r="E82" s="43" t="s">
        <v>93</v>
      </c>
      <c r="F82" s="43" t="s">
        <v>94</v>
      </c>
      <c r="G82" s="153" t="s">
        <v>36</v>
      </c>
    </row>
    <row r="83" spans="1:8" x14ac:dyDescent="0.25">
      <c r="A83" s="150">
        <v>1</v>
      </c>
      <c r="B83" s="108" t="s">
        <v>163</v>
      </c>
      <c r="C83" s="4">
        <v>4</v>
      </c>
      <c r="D83" s="5">
        <v>220</v>
      </c>
      <c r="E83" s="9">
        <v>1200</v>
      </c>
      <c r="F83" s="4">
        <v>2</v>
      </c>
      <c r="G83" s="151">
        <f t="shared" ref="G83:G111" si="5">F83*D83</f>
        <v>440</v>
      </c>
    </row>
    <row r="84" spans="1:8" x14ac:dyDescent="0.25">
      <c r="A84" s="150">
        <v>2</v>
      </c>
      <c r="B84" s="108" t="s">
        <v>164</v>
      </c>
      <c r="C84" s="4">
        <v>4</v>
      </c>
      <c r="D84" s="5">
        <v>600</v>
      </c>
      <c r="E84" s="9">
        <v>1500</v>
      </c>
      <c r="F84" s="4"/>
      <c r="G84" s="151">
        <f t="shared" si="5"/>
        <v>0</v>
      </c>
    </row>
    <row r="85" spans="1:8" x14ac:dyDescent="0.25">
      <c r="A85" s="150">
        <v>3</v>
      </c>
      <c r="B85" s="108" t="s">
        <v>165</v>
      </c>
      <c r="C85" s="4">
        <v>6</v>
      </c>
      <c r="D85" s="5">
        <v>500</v>
      </c>
      <c r="E85" s="9">
        <v>1500</v>
      </c>
      <c r="F85" s="4"/>
      <c r="G85" s="151">
        <f t="shared" si="5"/>
        <v>0</v>
      </c>
    </row>
    <row r="86" spans="1:8" x14ac:dyDescent="0.25">
      <c r="A86" s="150">
        <v>4</v>
      </c>
      <c r="B86" s="108" t="s">
        <v>166</v>
      </c>
      <c r="C86" s="4">
        <v>20</v>
      </c>
      <c r="D86" s="5">
        <v>400</v>
      </c>
      <c r="E86" s="9">
        <v>800</v>
      </c>
      <c r="F86" s="4"/>
      <c r="G86" s="151">
        <f t="shared" si="5"/>
        <v>0</v>
      </c>
    </row>
    <row r="87" spans="1:8" x14ac:dyDescent="0.25">
      <c r="A87" s="150">
        <v>5</v>
      </c>
      <c r="B87" s="108" t="s">
        <v>167</v>
      </c>
      <c r="C87" s="4">
        <v>42</v>
      </c>
      <c r="D87" s="5">
        <v>400</v>
      </c>
      <c r="E87" s="9">
        <v>800</v>
      </c>
      <c r="F87" s="4"/>
      <c r="G87" s="151">
        <f t="shared" si="5"/>
        <v>0</v>
      </c>
    </row>
    <row r="88" spans="1:8" x14ac:dyDescent="0.25">
      <c r="A88" s="150">
        <v>6</v>
      </c>
      <c r="B88" s="108" t="s">
        <v>168</v>
      </c>
      <c r="C88" s="4">
        <v>4</v>
      </c>
      <c r="D88" s="5">
        <v>400</v>
      </c>
      <c r="E88" s="9">
        <v>1500</v>
      </c>
      <c r="F88" s="4"/>
      <c r="G88" s="151">
        <f t="shared" si="5"/>
        <v>0</v>
      </c>
    </row>
    <row r="89" spans="1:8" x14ac:dyDescent="0.25">
      <c r="A89" s="150">
        <v>7</v>
      </c>
      <c r="B89" s="108" t="s">
        <v>169</v>
      </c>
      <c r="C89" s="4">
        <v>6</v>
      </c>
      <c r="D89" s="5">
        <v>400</v>
      </c>
      <c r="E89" s="9">
        <v>900</v>
      </c>
      <c r="F89" s="4"/>
      <c r="G89" s="151">
        <f t="shared" si="5"/>
        <v>0</v>
      </c>
    </row>
    <row r="90" spans="1:8" x14ac:dyDescent="0.25">
      <c r="A90" s="150">
        <v>8</v>
      </c>
      <c r="B90" s="108" t="s">
        <v>170</v>
      </c>
      <c r="C90" s="4">
        <v>4</v>
      </c>
      <c r="D90" s="5">
        <v>220</v>
      </c>
      <c r="E90" s="9">
        <v>1400</v>
      </c>
      <c r="F90" s="4"/>
      <c r="G90" s="151">
        <f t="shared" si="5"/>
        <v>0</v>
      </c>
    </row>
    <row r="91" spans="1:8" x14ac:dyDescent="0.25">
      <c r="A91" s="150">
        <v>9</v>
      </c>
      <c r="B91" s="108" t="s">
        <v>171</v>
      </c>
      <c r="C91" s="4">
        <v>20</v>
      </c>
      <c r="D91" s="5">
        <v>150</v>
      </c>
      <c r="E91" s="9">
        <v>500</v>
      </c>
      <c r="F91" s="4"/>
      <c r="G91" s="151">
        <f t="shared" si="5"/>
        <v>0</v>
      </c>
    </row>
    <row r="92" spans="1:8" x14ac:dyDescent="0.25">
      <c r="A92" s="150">
        <v>10</v>
      </c>
      <c r="B92" s="108" t="s">
        <v>172</v>
      </c>
      <c r="C92" s="4">
        <v>5</v>
      </c>
      <c r="D92" s="5">
        <v>220</v>
      </c>
      <c r="E92" s="9">
        <v>1200</v>
      </c>
      <c r="F92" s="4"/>
      <c r="G92" s="151">
        <f t="shared" si="5"/>
        <v>0</v>
      </c>
    </row>
    <row r="93" spans="1:8" x14ac:dyDescent="0.25">
      <c r="A93" s="150">
        <v>11</v>
      </c>
      <c r="B93" s="108" t="s">
        <v>173</v>
      </c>
      <c r="C93" s="4">
        <v>9</v>
      </c>
      <c r="D93" s="5">
        <v>300</v>
      </c>
      <c r="E93" s="9">
        <v>700</v>
      </c>
      <c r="F93" s="4"/>
      <c r="G93" s="151">
        <f t="shared" si="5"/>
        <v>0</v>
      </c>
    </row>
    <row r="94" spans="1:8" ht="25.5" x14ac:dyDescent="0.25">
      <c r="A94" s="150">
        <v>12</v>
      </c>
      <c r="B94" s="108" t="s">
        <v>174</v>
      </c>
      <c r="C94" s="4">
        <v>6</v>
      </c>
      <c r="D94" s="5">
        <v>300</v>
      </c>
      <c r="E94" s="9">
        <v>1000</v>
      </c>
      <c r="F94" s="4"/>
      <c r="G94" s="151">
        <f t="shared" si="5"/>
        <v>0</v>
      </c>
    </row>
    <row r="95" spans="1:8" ht="25.5" x14ac:dyDescent="0.25">
      <c r="A95" s="150">
        <v>13</v>
      </c>
      <c r="B95" s="108" t="s">
        <v>175</v>
      </c>
      <c r="C95" s="4">
        <v>2</v>
      </c>
      <c r="D95" s="5">
        <v>300</v>
      </c>
      <c r="E95" s="9">
        <v>1000</v>
      </c>
      <c r="F95" s="4"/>
      <c r="G95" s="151">
        <f t="shared" si="5"/>
        <v>0</v>
      </c>
    </row>
    <row r="96" spans="1:8" x14ac:dyDescent="0.25">
      <c r="A96" s="150">
        <v>14</v>
      </c>
      <c r="B96" s="113" t="s">
        <v>176</v>
      </c>
      <c r="C96" s="4">
        <v>8</v>
      </c>
      <c r="D96" s="5">
        <v>80</v>
      </c>
      <c r="E96" s="9">
        <v>300</v>
      </c>
      <c r="F96" s="4"/>
      <c r="G96" s="151">
        <f t="shared" si="5"/>
        <v>0</v>
      </c>
    </row>
    <row r="97" spans="1:8" x14ac:dyDescent="0.25">
      <c r="A97" s="150">
        <v>15</v>
      </c>
      <c r="B97" s="108" t="s">
        <v>177</v>
      </c>
      <c r="C97" s="4">
        <v>6</v>
      </c>
      <c r="D97" s="5">
        <v>450</v>
      </c>
      <c r="E97" s="9">
        <v>1200</v>
      </c>
      <c r="F97" s="4"/>
      <c r="G97" s="151">
        <f t="shared" si="5"/>
        <v>0</v>
      </c>
    </row>
    <row r="98" spans="1:8" x14ac:dyDescent="0.25">
      <c r="A98" s="150">
        <v>16</v>
      </c>
      <c r="B98" s="108" t="s">
        <v>178</v>
      </c>
      <c r="C98" s="4">
        <v>4</v>
      </c>
      <c r="D98" s="5">
        <v>450</v>
      </c>
      <c r="E98" s="9">
        <v>1200</v>
      </c>
      <c r="F98" s="4"/>
      <c r="G98" s="151">
        <f t="shared" si="5"/>
        <v>0</v>
      </c>
    </row>
    <row r="99" spans="1:8" x14ac:dyDescent="0.25">
      <c r="A99" s="150">
        <v>17</v>
      </c>
      <c r="B99" s="108" t="s">
        <v>179</v>
      </c>
      <c r="C99" s="4"/>
      <c r="D99" s="5">
        <v>250</v>
      </c>
      <c r="E99" s="9">
        <v>750</v>
      </c>
      <c r="F99" s="4"/>
      <c r="G99" s="151">
        <f t="shared" si="5"/>
        <v>0</v>
      </c>
    </row>
    <row r="100" spans="1:8" x14ac:dyDescent="0.25">
      <c r="A100" s="150">
        <v>18</v>
      </c>
      <c r="B100" s="108" t="s">
        <v>180</v>
      </c>
      <c r="C100" s="4">
        <v>80</v>
      </c>
      <c r="D100" s="5">
        <v>25</v>
      </c>
      <c r="E100" s="9">
        <v>120</v>
      </c>
      <c r="F100" s="4"/>
      <c r="G100" s="151">
        <f t="shared" si="5"/>
        <v>0</v>
      </c>
    </row>
    <row r="101" spans="1:8" x14ac:dyDescent="0.25">
      <c r="A101" s="150">
        <v>19</v>
      </c>
      <c r="B101" s="108" t="s">
        <v>181</v>
      </c>
      <c r="C101" s="4">
        <v>40</v>
      </c>
      <c r="D101" s="5">
        <v>25</v>
      </c>
      <c r="E101" s="9">
        <v>120</v>
      </c>
      <c r="F101" s="4"/>
      <c r="G101" s="151">
        <f t="shared" si="5"/>
        <v>0</v>
      </c>
    </row>
    <row r="102" spans="1:8" ht="16.5" customHeight="1" x14ac:dyDescent="0.25">
      <c r="A102" s="150">
        <v>20</v>
      </c>
      <c r="B102" s="108" t="s">
        <v>182</v>
      </c>
      <c r="C102" s="4">
        <v>40</v>
      </c>
      <c r="D102" s="5">
        <v>25</v>
      </c>
      <c r="E102" s="9">
        <v>120</v>
      </c>
      <c r="F102" s="4"/>
      <c r="G102" s="151">
        <f t="shared" si="5"/>
        <v>0</v>
      </c>
    </row>
    <row r="103" spans="1:8" x14ac:dyDescent="0.25">
      <c r="A103" s="150">
        <v>21</v>
      </c>
      <c r="B103" s="108" t="s">
        <v>183</v>
      </c>
      <c r="C103" s="4">
        <v>50</v>
      </c>
      <c r="D103" s="5">
        <v>20</v>
      </c>
      <c r="E103" s="9">
        <v>70</v>
      </c>
      <c r="F103" s="4"/>
      <c r="G103" s="151">
        <f t="shared" si="5"/>
        <v>0</v>
      </c>
    </row>
    <row r="104" spans="1:8" x14ac:dyDescent="0.25">
      <c r="A104" s="150">
        <v>22</v>
      </c>
      <c r="B104" s="108" t="s">
        <v>184</v>
      </c>
      <c r="C104" s="4">
        <v>40</v>
      </c>
      <c r="D104" s="5">
        <v>20</v>
      </c>
      <c r="E104" s="9">
        <v>70</v>
      </c>
      <c r="F104" s="4"/>
      <c r="G104" s="151">
        <f t="shared" si="5"/>
        <v>0</v>
      </c>
    </row>
    <row r="105" spans="1:8" x14ac:dyDescent="0.25">
      <c r="A105" s="150">
        <v>23</v>
      </c>
      <c r="B105" s="108" t="s">
        <v>185</v>
      </c>
      <c r="C105" s="4">
        <v>10</v>
      </c>
      <c r="D105" s="5">
        <v>20</v>
      </c>
      <c r="E105" s="9">
        <v>70</v>
      </c>
      <c r="F105" s="4"/>
      <c r="G105" s="151">
        <f t="shared" si="5"/>
        <v>0</v>
      </c>
    </row>
    <row r="106" spans="1:8" x14ac:dyDescent="0.25">
      <c r="A106" s="150">
        <v>24</v>
      </c>
      <c r="B106" s="108" t="s">
        <v>186</v>
      </c>
      <c r="C106" s="4">
        <v>400</v>
      </c>
      <c r="D106" s="5">
        <v>20</v>
      </c>
      <c r="E106" s="9">
        <v>70</v>
      </c>
      <c r="F106" s="4"/>
      <c r="G106" s="151">
        <f t="shared" si="5"/>
        <v>0</v>
      </c>
    </row>
    <row r="107" spans="1:8" x14ac:dyDescent="0.25">
      <c r="A107" s="150">
        <v>25</v>
      </c>
      <c r="B107" s="108" t="s">
        <v>187</v>
      </c>
      <c r="C107" s="4">
        <v>200</v>
      </c>
      <c r="D107" s="5">
        <v>20</v>
      </c>
      <c r="E107" s="9">
        <v>70</v>
      </c>
      <c r="F107" s="4"/>
      <c r="G107" s="151">
        <f t="shared" si="5"/>
        <v>0</v>
      </c>
    </row>
    <row r="108" spans="1:8" x14ac:dyDescent="0.25">
      <c r="A108" s="150">
        <v>26</v>
      </c>
      <c r="B108" s="108" t="s">
        <v>188</v>
      </c>
      <c r="C108" s="4">
        <v>70</v>
      </c>
      <c r="D108" s="5">
        <v>20</v>
      </c>
      <c r="E108" s="9">
        <v>120</v>
      </c>
      <c r="F108" s="4"/>
      <c r="G108" s="151">
        <f t="shared" si="5"/>
        <v>0</v>
      </c>
    </row>
    <row r="109" spans="1:8" x14ac:dyDescent="0.25">
      <c r="A109" s="150">
        <v>27</v>
      </c>
      <c r="B109" s="108" t="s">
        <v>189</v>
      </c>
      <c r="C109" s="105">
        <v>12</v>
      </c>
      <c r="D109" s="109">
        <v>200</v>
      </c>
      <c r="E109" s="9">
        <v>1200</v>
      </c>
      <c r="F109" s="4"/>
      <c r="G109" s="151">
        <f t="shared" si="5"/>
        <v>0</v>
      </c>
    </row>
    <row r="110" spans="1:8" x14ac:dyDescent="0.25">
      <c r="A110" s="150">
        <v>28</v>
      </c>
      <c r="B110" s="108" t="s">
        <v>190</v>
      </c>
      <c r="C110" s="105">
        <v>19</v>
      </c>
      <c r="D110" s="109">
        <v>50</v>
      </c>
      <c r="E110" s="9">
        <v>300</v>
      </c>
      <c r="F110" s="4"/>
      <c r="G110" s="151">
        <f t="shared" si="5"/>
        <v>0</v>
      </c>
    </row>
    <row r="111" spans="1:8" ht="15.75" thickBot="1" x14ac:dyDescent="0.3">
      <c r="A111" s="150">
        <v>29</v>
      </c>
      <c r="B111" s="108" t="s">
        <v>191</v>
      </c>
      <c r="C111" s="105">
        <v>20</v>
      </c>
      <c r="D111" s="109">
        <v>70</v>
      </c>
      <c r="E111" s="9">
        <v>500</v>
      </c>
      <c r="F111" s="4"/>
      <c r="G111" s="151">
        <f t="shared" si="5"/>
        <v>0</v>
      </c>
    </row>
    <row r="112" spans="1:8" ht="16.5" thickBot="1" x14ac:dyDescent="0.3">
      <c r="A112" s="103"/>
      <c r="B112" s="40" t="s">
        <v>192</v>
      </c>
      <c r="C112" s="40"/>
      <c r="D112" s="40"/>
      <c r="E112" s="40"/>
      <c r="F112" s="41">
        <v>1</v>
      </c>
      <c r="G112" s="42"/>
      <c r="H112" s="149">
        <f>SUM(G114:G148)</f>
        <v>400</v>
      </c>
    </row>
    <row r="113" spans="1:7" ht="24" customHeight="1" x14ac:dyDescent="0.25">
      <c r="A113" s="152" t="s">
        <v>0</v>
      </c>
      <c r="B113" s="43" t="s">
        <v>91</v>
      </c>
      <c r="C113" s="43"/>
      <c r="D113" s="43" t="s">
        <v>92</v>
      </c>
      <c r="E113" s="43" t="s">
        <v>93</v>
      </c>
      <c r="F113" s="43" t="s">
        <v>94</v>
      </c>
      <c r="G113" s="153" t="s">
        <v>36</v>
      </c>
    </row>
    <row r="114" spans="1:7" x14ac:dyDescent="0.25">
      <c r="A114" s="150">
        <v>1</v>
      </c>
      <c r="B114" s="3" t="s">
        <v>193</v>
      </c>
      <c r="C114" s="4">
        <v>8</v>
      </c>
      <c r="D114" s="5">
        <v>200</v>
      </c>
      <c r="E114" s="9">
        <v>1100</v>
      </c>
      <c r="F114" s="4">
        <v>2</v>
      </c>
      <c r="G114" s="151">
        <f t="shared" ref="G114:G148" si="6">SUM(D114*F114)</f>
        <v>400</v>
      </c>
    </row>
    <row r="115" spans="1:7" x14ac:dyDescent="0.25">
      <c r="A115" s="150">
        <v>2</v>
      </c>
      <c r="B115" s="3" t="s">
        <v>194</v>
      </c>
      <c r="C115" s="4">
        <v>4</v>
      </c>
      <c r="D115" s="5">
        <v>200</v>
      </c>
      <c r="E115" s="9">
        <v>1100</v>
      </c>
      <c r="F115" s="4"/>
      <c r="G115" s="151">
        <f t="shared" si="6"/>
        <v>0</v>
      </c>
    </row>
    <row r="116" spans="1:7" x14ac:dyDescent="0.25">
      <c r="A116" s="150">
        <v>3</v>
      </c>
      <c r="B116" s="3" t="s">
        <v>195</v>
      </c>
      <c r="C116" s="4">
        <v>1</v>
      </c>
      <c r="D116" s="5">
        <v>300</v>
      </c>
      <c r="E116" s="9">
        <v>1750</v>
      </c>
      <c r="F116" s="4"/>
      <c r="G116" s="151">
        <f t="shared" si="6"/>
        <v>0</v>
      </c>
    </row>
    <row r="117" spans="1:7" ht="15.75" customHeight="1" x14ac:dyDescent="0.25">
      <c r="A117" s="150">
        <v>4</v>
      </c>
      <c r="B117" s="3" t="s">
        <v>196</v>
      </c>
      <c r="C117" s="4">
        <v>1</v>
      </c>
      <c r="D117" s="5">
        <v>300</v>
      </c>
      <c r="E117" s="9">
        <v>1650</v>
      </c>
      <c r="F117" s="4"/>
      <c r="G117" s="151">
        <f t="shared" si="6"/>
        <v>0</v>
      </c>
    </row>
    <row r="118" spans="1:7" ht="15.75" customHeight="1" x14ac:dyDescent="0.25">
      <c r="A118" s="150">
        <v>5</v>
      </c>
      <c r="B118" s="3" t="s">
        <v>197</v>
      </c>
      <c r="C118" s="4"/>
      <c r="D118" s="5">
        <v>150</v>
      </c>
      <c r="E118" s="9">
        <v>1000</v>
      </c>
      <c r="F118" s="4"/>
      <c r="G118" s="151">
        <f t="shared" si="6"/>
        <v>0</v>
      </c>
    </row>
    <row r="119" spans="1:7" ht="15.75" customHeight="1" x14ac:dyDescent="0.25">
      <c r="A119" s="150">
        <v>6</v>
      </c>
      <c r="B119" s="3" t="s">
        <v>198</v>
      </c>
      <c r="C119" s="4"/>
      <c r="D119" s="5">
        <v>250</v>
      </c>
      <c r="E119" s="9">
        <v>1200</v>
      </c>
      <c r="F119" s="4"/>
      <c r="G119" s="151">
        <f t="shared" si="6"/>
        <v>0</v>
      </c>
    </row>
    <row r="120" spans="1:7" ht="15.75" customHeight="1" x14ac:dyDescent="0.25">
      <c r="A120" s="150">
        <v>7</v>
      </c>
      <c r="B120" s="3" t="s">
        <v>199</v>
      </c>
      <c r="C120" s="4"/>
      <c r="D120" s="5">
        <v>300</v>
      </c>
      <c r="E120" s="9">
        <v>1800</v>
      </c>
      <c r="F120" s="4"/>
      <c r="G120" s="151">
        <f t="shared" si="6"/>
        <v>0</v>
      </c>
    </row>
    <row r="121" spans="1:7" ht="15.75" customHeight="1" x14ac:dyDescent="0.25">
      <c r="A121" s="150">
        <v>8</v>
      </c>
      <c r="B121" s="3" t="s">
        <v>200</v>
      </c>
      <c r="C121" s="4"/>
      <c r="D121" s="5">
        <v>400</v>
      </c>
      <c r="E121" s="9">
        <v>2300</v>
      </c>
      <c r="F121" s="4"/>
      <c r="G121" s="151">
        <f t="shared" si="6"/>
        <v>0</v>
      </c>
    </row>
    <row r="122" spans="1:7" ht="15.75" customHeight="1" x14ac:dyDescent="0.25">
      <c r="A122" s="150">
        <v>9</v>
      </c>
      <c r="B122" s="3" t="s">
        <v>201</v>
      </c>
      <c r="C122" s="4"/>
      <c r="D122" s="5">
        <v>250</v>
      </c>
      <c r="E122" s="9">
        <v>1500</v>
      </c>
      <c r="F122" s="4"/>
      <c r="G122" s="151">
        <f t="shared" si="6"/>
        <v>0</v>
      </c>
    </row>
    <row r="123" spans="1:7" ht="15.75" customHeight="1" x14ac:dyDescent="0.25">
      <c r="A123" s="150">
        <v>10</v>
      </c>
      <c r="B123" s="3" t="s">
        <v>202</v>
      </c>
      <c r="C123" s="4"/>
      <c r="D123" s="5">
        <v>250</v>
      </c>
      <c r="E123" s="9">
        <v>1500</v>
      </c>
      <c r="F123" s="4"/>
      <c r="G123" s="151">
        <f t="shared" si="6"/>
        <v>0</v>
      </c>
    </row>
    <row r="124" spans="1:7" ht="15.75" customHeight="1" x14ac:dyDescent="0.25">
      <c r="A124" s="150">
        <v>11</v>
      </c>
      <c r="B124" s="3" t="s">
        <v>203</v>
      </c>
      <c r="C124" s="4"/>
      <c r="D124" s="5">
        <v>400</v>
      </c>
      <c r="E124" s="9">
        <v>3000</v>
      </c>
      <c r="F124" s="4"/>
      <c r="G124" s="151">
        <f t="shared" si="6"/>
        <v>0</v>
      </c>
    </row>
    <row r="125" spans="1:7" x14ac:dyDescent="0.25">
      <c r="A125" s="150">
        <v>12</v>
      </c>
      <c r="B125" s="3" t="s">
        <v>204</v>
      </c>
      <c r="C125" s="4"/>
      <c r="D125" s="5">
        <v>400</v>
      </c>
      <c r="E125" s="9">
        <v>3500</v>
      </c>
      <c r="F125" s="4"/>
      <c r="G125" s="151">
        <f t="shared" si="6"/>
        <v>0</v>
      </c>
    </row>
    <row r="126" spans="1:7" x14ac:dyDescent="0.25">
      <c r="A126" s="150">
        <v>13</v>
      </c>
      <c r="B126" s="3" t="s">
        <v>205</v>
      </c>
      <c r="C126" s="4"/>
      <c r="D126" s="5">
        <v>1200</v>
      </c>
      <c r="E126" s="9">
        <v>5000</v>
      </c>
      <c r="F126" s="4"/>
      <c r="G126" s="151">
        <f t="shared" si="6"/>
        <v>0</v>
      </c>
    </row>
    <row r="127" spans="1:7" x14ac:dyDescent="0.25">
      <c r="A127" s="150">
        <v>14</v>
      </c>
      <c r="B127" s="3" t="s">
        <v>206</v>
      </c>
      <c r="C127" s="4"/>
      <c r="D127" s="5">
        <v>200</v>
      </c>
      <c r="E127" s="9">
        <v>1000</v>
      </c>
      <c r="F127" s="4"/>
      <c r="G127" s="151">
        <f t="shared" si="6"/>
        <v>0</v>
      </c>
    </row>
    <row r="128" spans="1:7" ht="25.5" x14ac:dyDescent="0.25">
      <c r="A128" s="150">
        <v>15</v>
      </c>
      <c r="B128" s="3" t="s">
        <v>207</v>
      </c>
      <c r="C128" s="4"/>
      <c r="D128" s="5">
        <v>400</v>
      </c>
      <c r="E128" s="9">
        <v>3000</v>
      </c>
      <c r="F128" s="4"/>
      <c r="G128" s="151">
        <f t="shared" si="6"/>
        <v>0</v>
      </c>
    </row>
    <row r="129" spans="1:7" x14ac:dyDescent="0.25">
      <c r="A129" s="150">
        <v>16</v>
      </c>
      <c r="B129" s="3" t="s">
        <v>208</v>
      </c>
      <c r="C129" s="4"/>
      <c r="D129" s="5">
        <v>240</v>
      </c>
      <c r="E129" s="9">
        <v>2000</v>
      </c>
      <c r="F129" s="4"/>
      <c r="G129" s="151">
        <f t="shared" si="6"/>
        <v>0</v>
      </c>
    </row>
    <row r="130" spans="1:7" x14ac:dyDescent="0.25">
      <c r="A130" s="150">
        <v>17</v>
      </c>
      <c r="B130" s="3" t="s">
        <v>209</v>
      </c>
      <c r="C130" s="4"/>
      <c r="D130" s="5">
        <v>100</v>
      </c>
      <c r="E130" s="9">
        <v>1500</v>
      </c>
      <c r="F130" s="4"/>
      <c r="G130" s="151">
        <f t="shared" si="6"/>
        <v>0</v>
      </c>
    </row>
    <row r="131" spans="1:7" x14ac:dyDescent="0.25">
      <c r="A131" s="150">
        <v>18</v>
      </c>
      <c r="B131" s="3" t="s">
        <v>210</v>
      </c>
      <c r="C131" s="4"/>
      <c r="D131" s="5">
        <v>50</v>
      </c>
      <c r="E131" s="9">
        <v>400</v>
      </c>
      <c r="F131" s="4"/>
      <c r="G131" s="151">
        <f t="shared" si="6"/>
        <v>0</v>
      </c>
    </row>
    <row r="132" spans="1:7" x14ac:dyDescent="0.25">
      <c r="A132" s="150">
        <v>19</v>
      </c>
      <c r="B132" s="3" t="s">
        <v>211</v>
      </c>
      <c r="C132" s="4"/>
      <c r="D132" s="5">
        <v>40</v>
      </c>
      <c r="E132" s="9">
        <v>300</v>
      </c>
      <c r="F132" s="4"/>
      <c r="G132" s="151">
        <f t="shared" si="6"/>
        <v>0</v>
      </c>
    </row>
    <row r="133" spans="1:7" ht="25.5" x14ac:dyDescent="0.25">
      <c r="A133" s="150">
        <v>20</v>
      </c>
      <c r="B133" s="3" t="s">
        <v>212</v>
      </c>
      <c r="C133" s="4"/>
      <c r="D133" s="5">
        <v>50</v>
      </c>
      <c r="E133" s="9">
        <v>400</v>
      </c>
      <c r="F133" s="4"/>
      <c r="G133" s="151">
        <f t="shared" si="6"/>
        <v>0</v>
      </c>
    </row>
    <row r="134" spans="1:7" x14ac:dyDescent="0.25">
      <c r="A134" s="150">
        <v>21</v>
      </c>
      <c r="B134" s="3" t="s">
        <v>213</v>
      </c>
      <c r="C134" s="4"/>
      <c r="D134" s="5">
        <v>25</v>
      </c>
      <c r="E134" s="9">
        <v>150</v>
      </c>
      <c r="F134" s="4"/>
      <c r="G134" s="151">
        <f t="shared" si="6"/>
        <v>0</v>
      </c>
    </row>
    <row r="135" spans="1:7" ht="25.5" x14ac:dyDescent="0.25">
      <c r="A135" s="150">
        <v>22</v>
      </c>
      <c r="B135" s="3" t="s">
        <v>214</v>
      </c>
      <c r="C135" s="4"/>
      <c r="D135" s="5">
        <v>110</v>
      </c>
      <c r="E135" s="9">
        <v>700</v>
      </c>
      <c r="F135" s="4"/>
      <c r="G135" s="151">
        <f t="shared" si="6"/>
        <v>0</v>
      </c>
    </row>
    <row r="136" spans="1:7" x14ac:dyDescent="0.25">
      <c r="A136" s="150">
        <v>23</v>
      </c>
      <c r="B136" s="3" t="s">
        <v>215</v>
      </c>
      <c r="C136" s="4"/>
      <c r="D136" s="5">
        <v>170</v>
      </c>
      <c r="E136" s="9">
        <v>1500</v>
      </c>
      <c r="F136" s="4"/>
      <c r="G136" s="151">
        <f t="shared" si="6"/>
        <v>0</v>
      </c>
    </row>
    <row r="137" spans="1:7" x14ac:dyDescent="0.25">
      <c r="A137" s="150">
        <v>24</v>
      </c>
      <c r="B137" s="3" t="s">
        <v>216</v>
      </c>
      <c r="C137" s="4"/>
      <c r="D137" s="5">
        <v>150</v>
      </c>
      <c r="E137" s="9">
        <v>1200</v>
      </c>
      <c r="F137" s="4"/>
      <c r="G137" s="151">
        <f t="shared" si="6"/>
        <v>0</v>
      </c>
    </row>
    <row r="138" spans="1:7" x14ac:dyDescent="0.25">
      <c r="A138" s="150">
        <v>25</v>
      </c>
      <c r="B138" s="3" t="s">
        <v>217</v>
      </c>
      <c r="C138" s="4"/>
      <c r="D138" s="5">
        <v>160</v>
      </c>
      <c r="E138" s="9">
        <v>1600</v>
      </c>
      <c r="F138" s="4"/>
      <c r="G138" s="151">
        <f t="shared" si="6"/>
        <v>0</v>
      </c>
    </row>
    <row r="139" spans="1:7" ht="25.5" x14ac:dyDescent="0.25">
      <c r="A139" s="150">
        <v>26</v>
      </c>
      <c r="B139" s="3" t="s">
        <v>218</v>
      </c>
      <c r="C139" s="4"/>
      <c r="D139" s="5">
        <v>80</v>
      </c>
      <c r="E139" s="9">
        <v>800</v>
      </c>
      <c r="F139" s="4"/>
      <c r="G139" s="151">
        <f t="shared" si="6"/>
        <v>0</v>
      </c>
    </row>
    <row r="140" spans="1:7" x14ac:dyDescent="0.25">
      <c r="A140" s="150">
        <v>27</v>
      </c>
      <c r="B140" s="3" t="s">
        <v>219</v>
      </c>
      <c r="C140" s="4"/>
      <c r="D140" s="5">
        <v>1600</v>
      </c>
      <c r="E140" s="9">
        <v>5000</v>
      </c>
      <c r="F140" s="4"/>
      <c r="G140" s="151">
        <f t="shared" si="6"/>
        <v>0</v>
      </c>
    </row>
    <row r="141" spans="1:7" x14ac:dyDescent="0.25">
      <c r="A141" s="150">
        <v>28</v>
      </c>
      <c r="B141" s="3" t="s">
        <v>220</v>
      </c>
      <c r="C141" s="4"/>
      <c r="D141" s="5">
        <v>1850</v>
      </c>
      <c r="E141" s="9">
        <v>6000</v>
      </c>
      <c r="F141" s="4"/>
      <c r="G141" s="151">
        <f t="shared" si="6"/>
        <v>0</v>
      </c>
    </row>
    <row r="142" spans="1:7" x14ac:dyDescent="0.25">
      <c r="A142" s="150">
        <v>29</v>
      </c>
      <c r="B142" s="3" t="s">
        <v>221</v>
      </c>
      <c r="C142" s="4"/>
      <c r="D142" s="5">
        <v>2600</v>
      </c>
      <c r="E142" s="9">
        <v>8000</v>
      </c>
      <c r="F142" s="4"/>
      <c r="G142" s="151">
        <f t="shared" si="6"/>
        <v>0</v>
      </c>
    </row>
    <row r="143" spans="1:7" x14ac:dyDescent="0.25">
      <c r="A143" s="150">
        <v>30</v>
      </c>
      <c r="B143" s="3" t="s">
        <v>222</v>
      </c>
      <c r="C143" s="4"/>
      <c r="D143" s="5">
        <v>1300</v>
      </c>
      <c r="E143" s="9">
        <v>4000</v>
      </c>
      <c r="F143" s="4"/>
      <c r="G143" s="151">
        <f t="shared" si="6"/>
        <v>0</v>
      </c>
    </row>
    <row r="144" spans="1:7" x14ac:dyDescent="0.25">
      <c r="A144" s="150">
        <v>31</v>
      </c>
      <c r="B144" s="3" t="s">
        <v>223</v>
      </c>
      <c r="C144" s="4"/>
      <c r="D144" s="5">
        <v>1300</v>
      </c>
      <c r="E144" s="9">
        <v>4000</v>
      </c>
      <c r="F144" s="4"/>
      <c r="G144" s="151">
        <f t="shared" si="6"/>
        <v>0</v>
      </c>
    </row>
    <row r="145" spans="1:8" x14ac:dyDescent="0.25">
      <c r="A145" s="150">
        <v>32</v>
      </c>
      <c r="B145" s="3" t="s">
        <v>224</v>
      </c>
      <c r="C145" s="4"/>
      <c r="D145" s="5">
        <v>400</v>
      </c>
      <c r="E145" s="9">
        <v>1500</v>
      </c>
      <c r="F145" s="4"/>
      <c r="G145" s="151">
        <f t="shared" si="6"/>
        <v>0</v>
      </c>
    </row>
    <row r="146" spans="1:8" x14ac:dyDescent="0.25">
      <c r="A146" s="150">
        <v>33</v>
      </c>
      <c r="B146" s="3" t="s">
        <v>225</v>
      </c>
      <c r="C146" s="4"/>
      <c r="D146" s="5">
        <v>150</v>
      </c>
      <c r="E146" s="9">
        <v>700</v>
      </c>
      <c r="F146" s="4"/>
      <c r="G146" s="151">
        <f t="shared" si="6"/>
        <v>0</v>
      </c>
    </row>
    <row r="147" spans="1:8" x14ac:dyDescent="0.25">
      <c r="A147" s="150">
        <v>34</v>
      </c>
      <c r="B147" s="3" t="s">
        <v>226</v>
      </c>
      <c r="C147" s="4"/>
      <c r="D147" s="5">
        <v>100</v>
      </c>
      <c r="E147" s="9">
        <v>300</v>
      </c>
      <c r="F147" s="4"/>
      <c r="G147" s="151">
        <f t="shared" si="6"/>
        <v>0</v>
      </c>
    </row>
    <row r="148" spans="1:8" ht="26.25" thickBot="1" x14ac:dyDescent="0.3">
      <c r="A148" s="150">
        <v>35</v>
      </c>
      <c r="B148" s="3" t="s">
        <v>227</v>
      </c>
      <c r="C148" s="4"/>
      <c r="D148" s="5">
        <v>330</v>
      </c>
      <c r="E148" s="9">
        <v>1500</v>
      </c>
      <c r="F148" s="4"/>
      <c r="G148" s="151">
        <f t="shared" si="6"/>
        <v>0</v>
      </c>
    </row>
    <row r="149" spans="1:8" ht="16.5" thickBot="1" x14ac:dyDescent="0.3">
      <c r="A149" s="103"/>
      <c r="B149" s="40" t="s">
        <v>228</v>
      </c>
      <c r="C149" s="40"/>
      <c r="D149" s="40"/>
      <c r="E149" s="40"/>
      <c r="F149" s="41">
        <v>1</v>
      </c>
      <c r="G149" s="42"/>
      <c r="H149" s="149">
        <f>SUM(G151:G156)</f>
        <v>0</v>
      </c>
    </row>
    <row r="150" spans="1:8" ht="24" customHeight="1" x14ac:dyDescent="0.25">
      <c r="A150" s="152" t="s">
        <v>0</v>
      </c>
      <c r="B150" s="43" t="s">
        <v>91</v>
      </c>
      <c r="C150" s="43"/>
      <c r="D150" s="43" t="s">
        <v>92</v>
      </c>
      <c r="E150" s="43" t="s">
        <v>93</v>
      </c>
      <c r="F150" s="43" t="s">
        <v>94</v>
      </c>
      <c r="G150" s="153" t="s">
        <v>36</v>
      </c>
    </row>
    <row r="151" spans="1:8" ht="15" customHeight="1" x14ac:dyDescent="0.25">
      <c r="A151" s="150">
        <v>1</v>
      </c>
      <c r="B151" s="3" t="s">
        <v>229</v>
      </c>
      <c r="C151" s="4">
        <v>5</v>
      </c>
      <c r="D151" s="13">
        <v>3500</v>
      </c>
      <c r="E151" s="12">
        <v>25000</v>
      </c>
      <c r="F151" s="4"/>
      <c r="G151" s="151">
        <f t="shared" ref="G151:G156" si="7">SUM(D151*F151)</f>
        <v>0</v>
      </c>
    </row>
    <row r="152" spans="1:8" ht="15" customHeight="1" x14ac:dyDescent="0.25">
      <c r="A152" s="150">
        <v>2</v>
      </c>
      <c r="B152" s="3" t="s">
        <v>230</v>
      </c>
      <c r="C152" s="4">
        <v>1</v>
      </c>
      <c r="D152" s="13">
        <v>650</v>
      </c>
      <c r="E152" s="12">
        <v>3000</v>
      </c>
      <c r="F152" s="4"/>
      <c r="G152" s="151">
        <f t="shared" si="7"/>
        <v>0</v>
      </c>
    </row>
    <row r="153" spans="1:8" ht="15" customHeight="1" x14ac:dyDescent="0.25">
      <c r="A153" s="150">
        <v>3</v>
      </c>
      <c r="B153" s="3" t="s">
        <v>231</v>
      </c>
      <c r="C153" s="4"/>
      <c r="D153" s="13">
        <v>400</v>
      </c>
      <c r="E153" s="12">
        <v>2000</v>
      </c>
      <c r="F153" s="4"/>
      <c r="G153" s="151">
        <f t="shared" si="7"/>
        <v>0</v>
      </c>
    </row>
    <row r="154" spans="1:8" x14ac:dyDescent="0.25">
      <c r="A154" s="150">
        <v>4</v>
      </c>
      <c r="B154" s="3" t="s">
        <v>232</v>
      </c>
      <c r="C154" s="4"/>
      <c r="D154" s="13">
        <v>1300</v>
      </c>
      <c r="E154" s="12">
        <v>5000</v>
      </c>
      <c r="F154" s="4"/>
      <c r="G154" s="151">
        <f t="shared" si="7"/>
        <v>0</v>
      </c>
    </row>
    <row r="155" spans="1:8" ht="15" customHeight="1" x14ac:dyDescent="0.25">
      <c r="A155" s="150">
        <v>5</v>
      </c>
      <c r="B155" s="3" t="s">
        <v>233</v>
      </c>
      <c r="C155" s="4"/>
      <c r="D155" s="13">
        <v>2900</v>
      </c>
      <c r="E155" s="12">
        <v>7000</v>
      </c>
      <c r="F155" s="4"/>
      <c r="G155" s="151">
        <f t="shared" si="7"/>
        <v>0</v>
      </c>
    </row>
    <row r="156" spans="1:8" ht="16.5" customHeight="1" thickBot="1" x14ac:dyDescent="0.3">
      <c r="A156" s="150">
        <v>6</v>
      </c>
      <c r="B156" s="3" t="s">
        <v>234</v>
      </c>
      <c r="C156" s="4"/>
      <c r="D156" s="13">
        <v>2300</v>
      </c>
      <c r="E156" s="12">
        <v>6000</v>
      </c>
      <c r="F156" s="4"/>
      <c r="G156" s="151">
        <f t="shared" si="7"/>
        <v>0</v>
      </c>
    </row>
    <row r="157" spans="1:8" ht="18" customHeight="1" thickBot="1" x14ac:dyDescent="0.3">
      <c r="A157" s="103"/>
      <c r="B157" s="40" t="s">
        <v>28</v>
      </c>
      <c r="C157" s="40"/>
      <c r="D157" s="40"/>
      <c r="E157" s="40"/>
      <c r="F157" s="41">
        <v>1</v>
      </c>
      <c r="G157" s="42"/>
      <c r="H157" s="149">
        <f>SUM(G159:G175)</f>
        <v>0</v>
      </c>
    </row>
    <row r="158" spans="1:8" ht="24" customHeight="1" x14ac:dyDescent="0.25">
      <c r="A158" s="152"/>
      <c r="B158" s="43" t="s">
        <v>91</v>
      </c>
      <c r="C158" s="43" t="s">
        <v>35</v>
      </c>
      <c r="D158" s="43" t="s">
        <v>92</v>
      </c>
      <c r="E158" s="43" t="s">
        <v>93</v>
      </c>
      <c r="F158" s="43" t="s">
        <v>94</v>
      </c>
      <c r="G158" s="153" t="s">
        <v>36</v>
      </c>
    </row>
    <row r="159" spans="1:8" ht="14.25" customHeight="1" x14ac:dyDescent="0.25">
      <c r="A159" s="150">
        <v>1</v>
      </c>
      <c r="B159" s="3" t="s">
        <v>42</v>
      </c>
      <c r="C159" s="4">
        <v>1</v>
      </c>
      <c r="D159" s="5">
        <v>300</v>
      </c>
      <c r="E159" s="11">
        <v>10000</v>
      </c>
      <c r="F159" s="8"/>
      <c r="G159" s="151">
        <f>D159*F159</f>
        <v>0</v>
      </c>
    </row>
    <row r="160" spans="1:8" x14ac:dyDescent="0.25">
      <c r="A160" s="150">
        <v>2</v>
      </c>
      <c r="B160" s="3" t="s">
        <v>43</v>
      </c>
      <c r="C160" s="4">
        <v>1</v>
      </c>
      <c r="D160" s="5">
        <v>300</v>
      </c>
      <c r="E160" s="11">
        <v>10000</v>
      </c>
      <c r="F160" s="8"/>
      <c r="G160" s="151">
        <f t="shared" ref="G160:G175" si="8">D160*F160</f>
        <v>0</v>
      </c>
    </row>
    <row r="161" spans="1:8" x14ac:dyDescent="0.25">
      <c r="A161" s="150">
        <v>3</v>
      </c>
      <c r="B161" s="3" t="s">
        <v>235</v>
      </c>
      <c r="C161" s="4">
        <v>2</v>
      </c>
      <c r="D161" s="5">
        <v>300</v>
      </c>
      <c r="E161" s="11">
        <v>15000</v>
      </c>
      <c r="F161" s="8"/>
      <c r="G161" s="151">
        <f t="shared" si="8"/>
        <v>0</v>
      </c>
    </row>
    <row r="162" spans="1:8" x14ac:dyDescent="0.25">
      <c r="A162" s="150">
        <v>4</v>
      </c>
      <c r="B162" s="3" t="s">
        <v>236</v>
      </c>
      <c r="C162" s="4">
        <v>2</v>
      </c>
      <c r="D162" s="5">
        <v>150</v>
      </c>
      <c r="E162" s="11">
        <v>1000</v>
      </c>
      <c r="F162" s="8"/>
      <c r="G162" s="151">
        <f t="shared" si="8"/>
        <v>0</v>
      </c>
    </row>
    <row r="163" spans="1:8" x14ac:dyDescent="0.25">
      <c r="A163" s="150">
        <v>5</v>
      </c>
      <c r="B163" s="3" t="s">
        <v>237</v>
      </c>
      <c r="C163" s="4"/>
      <c r="D163" s="5">
        <v>300</v>
      </c>
      <c r="E163" s="11">
        <v>3000</v>
      </c>
      <c r="F163" s="8"/>
      <c r="G163" s="151">
        <f t="shared" si="8"/>
        <v>0</v>
      </c>
    </row>
    <row r="164" spans="1:8" x14ac:dyDescent="0.25">
      <c r="A164" s="150">
        <v>6</v>
      </c>
      <c r="B164" s="3" t="s">
        <v>238</v>
      </c>
      <c r="C164" s="44"/>
      <c r="D164" s="5">
        <v>300</v>
      </c>
      <c r="E164" s="11">
        <v>3000</v>
      </c>
      <c r="F164" s="8"/>
      <c r="G164" s="151">
        <f t="shared" si="8"/>
        <v>0</v>
      </c>
    </row>
    <row r="165" spans="1:8" x14ac:dyDescent="0.25">
      <c r="A165" s="150">
        <v>7</v>
      </c>
      <c r="B165" s="3" t="s">
        <v>44</v>
      </c>
      <c r="C165" s="4">
        <v>2</v>
      </c>
      <c r="D165" s="5">
        <v>500</v>
      </c>
      <c r="E165" s="5">
        <v>2500</v>
      </c>
      <c r="F165" s="4"/>
      <c r="G165" s="151">
        <f t="shared" si="8"/>
        <v>0</v>
      </c>
    </row>
    <row r="166" spans="1:8" x14ac:dyDescent="0.25">
      <c r="A166" s="150">
        <v>8</v>
      </c>
      <c r="B166" s="3" t="s">
        <v>239</v>
      </c>
      <c r="C166" s="4">
        <v>1</v>
      </c>
      <c r="D166" s="5">
        <v>500</v>
      </c>
      <c r="E166" s="9">
        <v>8000</v>
      </c>
      <c r="F166" s="4"/>
      <c r="G166" s="151">
        <f t="shared" si="8"/>
        <v>0</v>
      </c>
    </row>
    <row r="167" spans="1:8" x14ac:dyDescent="0.25">
      <c r="A167" s="150">
        <v>9</v>
      </c>
      <c r="B167" s="3" t="s">
        <v>240</v>
      </c>
      <c r="C167" s="4">
        <v>1</v>
      </c>
      <c r="D167" s="5">
        <v>500</v>
      </c>
      <c r="E167" s="11">
        <v>5000</v>
      </c>
      <c r="F167" s="8"/>
      <c r="G167" s="151">
        <f t="shared" si="8"/>
        <v>0</v>
      </c>
    </row>
    <row r="168" spans="1:8" x14ac:dyDescent="0.25">
      <c r="A168" s="150">
        <v>10</v>
      </c>
      <c r="B168" s="3" t="s">
        <v>241</v>
      </c>
      <c r="C168" s="4">
        <v>4</v>
      </c>
      <c r="D168" s="5">
        <v>300</v>
      </c>
      <c r="E168" s="11">
        <v>1000</v>
      </c>
      <c r="F168" s="8"/>
      <c r="G168" s="151">
        <f t="shared" si="8"/>
        <v>0</v>
      </c>
    </row>
    <row r="169" spans="1:8" x14ac:dyDescent="0.25">
      <c r="A169" s="150">
        <v>11</v>
      </c>
      <c r="B169" s="3" t="s">
        <v>242</v>
      </c>
      <c r="C169" s="4">
        <v>2</v>
      </c>
      <c r="D169" s="5">
        <v>400</v>
      </c>
      <c r="E169" s="11">
        <v>2500</v>
      </c>
      <c r="F169" s="8"/>
      <c r="G169" s="151">
        <f t="shared" si="8"/>
        <v>0</v>
      </c>
    </row>
    <row r="170" spans="1:8" x14ac:dyDescent="0.25">
      <c r="A170" s="150">
        <v>12</v>
      </c>
      <c r="B170" s="3" t="s">
        <v>243</v>
      </c>
      <c r="C170" s="4">
        <v>2</v>
      </c>
      <c r="D170" s="5">
        <v>390</v>
      </c>
      <c r="E170" s="11">
        <v>2400</v>
      </c>
      <c r="F170" s="8"/>
      <c r="G170" s="151">
        <f t="shared" si="8"/>
        <v>0</v>
      </c>
    </row>
    <row r="171" spans="1:8" x14ac:dyDescent="0.25">
      <c r="A171" s="150">
        <v>13</v>
      </c>
      <c r="B171" s="3" t="s">
        <v>244</v>
      </c>
      <c r="C171" s="4"/>
      <c r="D171" s="5">
        <v>1300</v>
      </c>
      <c r="E171" s="11">
        <v>7000</v>
      </c>
      <c r="F171" s="8"/>
      <c r="G171" s="151">
        <f t="shared" si="8"/>
        <v>0</v>
      </c>
    </row>
    <row r="172" spans="1:8" x14ac:dyDescent="0.25">
      <c r="A172" s="150">
        <v>14</v>
      </c>
      <c r="B172" s="3" t="s">
        <v>245</v>
      </c>
      <c r="C172" s="4">
        <v>4</v>
      </c>
      <c r="D172" s="5">
        <v>300</v>
      </c>
      <c r="E172" s="11">
        <v>1900</v>
      </c>
      <c r="F172" s="8"/>
      <c r="G172" s="151">
        <f t="shared" si="8"/>
        <v>0</v>
      </c>
    </row>
    <row r="173" spans="1:8" x14ac:dyDescent="0.25">
      <c r="A173" s="150">
        <v>15</v>
      </c>
      <c r="B173" s="3" t="s">
        <v>246</v>
      </c>
      <c r="C173" s="4"/>
      <c r="D173" s="5">
        <v>390</v>
      </c>
      <c r="E173" s="11">
        <v>1500</v>
      </c>
      <c r="F173" s="8"/>
      <c r="G173" s="151">
        <f t="shared" si="8"/>
        <v>0</v>
      </c>
    </row>
    <row r="174" spans="1:8" x14ac:dyDescent="0.25">
      <c r="A174" s="150">
        <v>16</v>
      </c>
      <c r="B174" s="3" t="s">
        <v>247</v>
      </c>
      <c r="C174" s="4">
        <v>2</v>
      </c>
      <c r="D174" s="5">
        <v>50</v>
      </c>
      <c r="E174" s="11">
        <v>500</v>
      </c>
      <c r="F174" s="8"/>
      <c r="G174" s="151">
        <f t="shared" si="8"/>
        <v>0</v>
      </c>
    </row>
    <row r="175" spans="1:8" ht="15.75" thickBot="1" x14ac:dyDescent="0.3">
      <c r="A175" s="150">
        <v>17</v>
      </c>
      <c r="B175" s="3" t="s">
        <v>248</v>
      </c>
      <c r="C175" s="4">
        <v>3</v>
      </c>
      <c r="D175" s="5">
        <v>100</v>
      </c>
      <c r="E175" s="11">
        <v>1500</v>
      </c>
      <c r="F175" s="8"/>
      <c r="G175" s="151">
        <f t="shared" si="8"/>
        <v>0</v>
      </c>
    </row>
    <row r="176" spans="1:8" ht="16.5" thickBot="1" x14ac:dyDescent="0.3">
      <c r="A176" s="103"/>
      <c r="B176" s="40" t="s">
        <v>249</v>
      </c>
      <c r="C176" s="40"/>
      <c r="D176" s="40"/>
      <c r="E176" s="40"/>
      <c r="F176" s="41">
        <v>1</v>
      </c>
      <c r="G176" s="42"/>
      <c r="H176" s="149">
        <f>SUM(G178:G192)</f>
        <v>0</v>
      </c>
    </row>
    <row r="177" spans="1:7" ht="24" customHeight="1" x14ac:dyDescent="0.25">
      <c r="A177" s="152" t="s">
        <v>0</v>
      </c>
      <c r="B177" s="43" t="s">
        <v>91</v>
      </c>
      <c r="C177" s="43" t="s">
        <v>35</v>
      </c>
      <c r="D177" s="43" t="s">
        <v>92</v>
      </c>
      <c r="E177" s="43" t="s">
        <v>93</v>
      </c>
      <c r="F177" s="43" t="s">
        <v>94</v>
      </c>
      <c r="G177" s="153" t="s">
        <v>36</v>
      </c>
    </row>
    <row r="178" spans="1:7" x14ac:dyDescent="0.25">
      <c r="A178" s="150">
        <v>1</v>
      </c>
      <c r="B178" s="3" t="s">
        <v>250</v>
      </c>
      <c r="C178" s="56">
        <v>24</v>
      </c>
      <c r="D178" s="5">
        <v>15</v>
      </c>
      <c r="E178" s="11">
        <v>70</v>
      </c>
      <c r="F178" s="4"/>
      <c r="G178" s="137">
        <f>D178*F178</f>
        <v>0</v>
      </c>
    </row>
    <row r="179" spans="1:7" x14ac:dyDescent="0.25">
      <c r="A179" s="150">
        <v>2</v>
      </c>
      <c r="B179" s="3" t="s">
        <v>47</v>
      </c>
      <c r="C179" s="56">
        <v>12</v>
      </c>
      <c r="D179" s="5">
        <v>80</v>
      </c>
      <c r="E179" s="11">
        <v>350</v>
      </c>
      <c r="F179" s="4"/>
      <c r="G179" s="137">
        <f>D179*F179</f>
        <v>0</v>
      </c>
    </row>
    <row r="180" spans="1:7" x14ac:dyDescent="0.25">
      <c r="A180" s="150">
        <v>3</v>
      </c>
      <c r="B180" s="3" t="s">
        <v>251</v>
      </c>
      <c r="C180" s="56">
        <v>12</v>
      </c>
      <c r="D180" s="5">
        <v>100</v>
      </c>
      <c r="E180" s="11">
        <v>450</v>
      </c>
      <c r="F180" s="4"/>
      <c r="G180" s="137">
        <f>D180*F180</f>
        <v>0</v>
      </c>
    </row>
    <row r="181" spans="1:7" x14ac:dyDescent="0.25">
      <c r="A181" s="150">
        <v>4</v>
      </c>
      <c r="B181" s="3" t="s">
        <v>252</v>
      </c>
      <c r="C181" s="56">
        <v>2</v>
      </c>
      <c r="D181" s="5">
        <v>100</v>
      </c>
      <c r="E181" s="11">
        <v>500</v>
      </c>
      <c r="F181" s="4"/>
      <c r="G181" s="137">
        <f t="shared" ref="G181:G192" si="9">D181*F181</f>
        <v>0</v>
      </c>
    </row>
    <row r="182" spans="1:7" x14ac:dyDescent="0.25">
      <c r="A182" s="150">
        <v>5</v>
      </c>
      <c r="B182" s="3" t="s">
        <v>253</v>
      </c>
      <c r="C182" s="56">
        <v>1</v>
      </c>
      <c r="D182" s="5">
        <v>150</v>
      </c>
      <c r="E182" s="11">
        <v>700</v>
      </c>
      <c r="F182" s="4"/>
      <c r="G182" s="137">
        <f t="shared" si="9"/>
        <v>0</v>
      </c>
    </row>
    <row r="183" spans="1:7" x14ac:dyDescent="0.25">
      <c r="A183" s="150">
        <v>6</v>
      </c>
      <c r="B183" s="3" t="s">
        <v>254</v>
      </c>
      <c r="C183" s="56">
        <v>1</v>
      </c>
      <c r="D183" s="5">
        <v>500</v>
      </c>
      <c r="E183" s="11">
        <v>5000</v>
      </c>
      <c r="F183" s="4"/>
      <c r="G183" s="137">
        <f t="shared" si="9"/>
        <v>0</v>
      </c>
    </row>
    <row r="184" spans="1:7" x14ac:dyDescent="0.25">
      <c r="A184" s="150">
        <v>7</v>
      </c>
      <c r="B184" s="3" t="s">
        <v>255</v>
      </c>
      <c r="C184" s="56">
        <v>2</v>
      </c>
      <c r="D184" s="5">
        <v>400</v>
      </c>
      <c r="E184" s="11">
        <v>1900</v>
      </c>
      <c r="F184" s="4"/>
      <c r="G184" s="137">
        <f t="shared" si="9"/>
        <v>0</v>
      </c>
    </row>
    <row r="185" spans="1:7" x14ac:dyDescent="0.25">
      <c r="A185" s="150">
        <v>8</v>
      </c>
      <c r="B185" s="3" t="s">
        <v>256</v>
      </c>
      <c r="C185" s="56">
        <v>1</v>
      </c>
      <c r="D185" s="5">
        <v>500</v>
      </c>
      <c r="E185" s="11">
        <v>4500</v>
      </c>
      <c r="F185" s="4"/>
      <c r="G185" s="137">
        <f t="shared" si="9"/>
        <v>0</v>
      </c>
    </row>
    <row r="186" spans="1:7" x14ac:dyDescent="0.25">
      <c r="A186" s="150">
        <v>9</v>
      </c>
      <c r="B186" s="3" t="s">
        <v>257</v>
      </c>
      <c r="C186" s="56"/>
      <c r="D186" s="5">
        <v>700</v>
      </c>
      <c r="E186" s="11">
        <v>7000</v>
      </c>
      <c r="F186" s="4"/>
      <c r="G186" s="137">
        <f t="shared" si="9"/>
        <v>0</v>
      </c>
    </row>
    <row r="187" spans="1:7" x14ac:dyDescent="0.25">
      <c r="A187" s="150">
        <v>10</v>
      </c>
      <c r="B187" s="3" t="s">
        <v>258</v>
      </c>
      <c r="C187" s="56">
        <v>4</v>
      </c>
      <c r="D187" s="5">
        <v>10</v>
      </c>
      <c r="E187" s="11">
        <v>70</v>
      </c>
      <c r="F187" s="4"/>
      <c r="G187" s="137">
        <f t="shared" si="9"/>
        <v>0</v>
      </c>
    </row>
    <row r="188" spans="1:7" x14ac:dyDescent="0.25">
      <c r="A188" s="150">
        <v>11</v>
      </c>
      <c r="B188" s="3" t="s">
        <v>259</v>
      </c>
      <c r="C188" s="56">
        <v>1</v>
      </c>
      <c r="D188" s="5">
        <v>50</v>
      </c>
      <c r="E188" s="11">
        <v>400</v>
      </c>
      <c r="F188" s="4"/>
      <c r="G188" s="137">
        <f t="shared" si="9"/>
        <v>0</v>
      </c>
    </row>
    <row r="189" spans="1:7" x14ac:dyDescent="0.25">
      <c r="A189" s="150">
        <v>12</v>
      </c>
      <c r="B189" s="3" t="s">
        <v>260</v>
      </c>
      <c r="C189" s="56">
        <v>1</v>
      </c>
      <c r="D189" s="5">
        <v>50</v>
      </c>
      <c r="E189" s="11">
        <v>300</v>
      </c>
      <c r="F189" s="4"/>
      <c r="G189" s="137">
        <f t="shared" si="9"/>
        <v>0</v>
      </c>
    </row>
    <row r="190" spans="1:7" x14ac:dyDescent="0.25">
      <c r="A190" s="150">
        <v>13</v>
      </c>
      <c r="B190" s="3" t="s">
        <v>261</v>
      </c>
      <c r="C190" s="56">
        <v>1</v>
      </c>
      <c r="D190" s="5">
        <v>50</v>
      </c>
      <c r="E190" s="11">
        <v>1000</v>
      </c>
      <c r="F190" s="4"/>
      <c r="G190" s="137">
        <f t="shared" si="9"/>
        <v>0</v>
      </c>
    </row>
    <row r="191" spans="1:7" x14ac:dyDescent="0.25">
      <c r="A191" s="150">
        <v>14</v>
      </c>
      <c r="B191" s="3" t="s">
        <v>262</v>
      </c>
      <c r="C191" s="56">
        <v>1</v>
      </c>
      <c r="D191" s="5">
        <v>50</v>
      </c>
      <c r="E191" s="11">
        <v>700</v>
      </c>
      <c r="F191" s="4"/>
      <c r="G191" s="137">
        <f t="shared" si="9"/>
        <v>0</v>
      </c>
    </row>
    <row r="192" spans="1:7" ht="15.75" thickBot="1" x14ac:dyDescent="0.3">
      <c r="A192" s="150">
        <v>15</v>
      </c>
      <c r="B192" s="3" t="s">
        <v>263</v>
      </c>
      <c r="C192" s="56">
        <v>2</v>
      </c>
      <c r="D192" s="5">
        <v>30</v>
      </c>
      <c r="E192" s="11">
        <v>300</v>
      </c>
      <c r="F192" s="4"/>
      <c r="G192" s="137">
        <f t="shared" si="9"/>
        <v>0</v>
      </c>
    </row>
    <row r="193" spans="1:8" ht="16.5" thickBot="1" x14ac:dyDescent="0.3">
      <c r="A193" s="103"/>
      <c r="B193" s="40" t="s">
        <v>264</v>
      </c>
      <c r="C193" s="40"/>
      <c r="D193" s="40"/>
      <c r="E193" s="40"/>
      <c r="F193" s="41">
        <v>1</v>
      </c>
      <c r="G193" s="42"/>
      <c r="H193" s="149">
        <f>SUM(G198:G249)</f>
        <v>0</v>
      </c>
    </row>
    <row r="194" spans="1:8" ht="24" customHeight="1" x14ac:dyDescent="0.25">
      <c r="A194" s="152" t="s">
        <v>0</v>
      </c>
      <c r="B194" s="43" t="s">
        <v>91</v>
      </c>
      <c r="C194" s="43" t="s">
        <v>35</v>
      </c>
      <c r="D194" s="43" t="s">
        <v>92</v>
      </c>
      <c r="E194" s="43" t="s">
        <v>93</v>
      </c>
      <c r="F194" s="43" t="s">
        <v>94</v>
      </c>
      <c r="G194" s="153" t="s">
        <v>36</v>
      </c>
    </row>
    <row r="195" spans="1:8" x14ac:dyDescent="0.25">
      <c r="A195" s="150">
        <v>1</v>
      </c>
      <c r="B195" s="3" t="s">
        <v>265</v>
      </c>
      <c r="C195" s="114">
        <v>4</v>
      </c>
      <c r="D195" s="5">
        <v>30</v>
      </c>
      <c r="E195" s="10">
        <v>380</v>
      </c>
      <c r="F195" s="49"/>
      <c r="G195" s="151">
        <f t="shared" ref="G195:G247" si="10">D195*F195</f>
        <v>0</v>
      </c>
    </row>
    <row r="196" spans="1:8" x14ac:dyDescent="0.25">
      <c r="A196" s="150">
        <v>2</v>
      </c>
      <c r="B196" s="3" t="s">
        <v>266</v>
      </c>
      <c r="C196" s="114">
        <v>4</v>
      </c>
      <c r="D196" s="5">
        <v>10</v>
      </c>
      <c r="E196" s="10">
        <v>80</v>
      </c>
      <c r="F196" s="49"/>
      <c r="G196" s="151">
        <f t="shared" si="10"/>
        <v>0</v>
      </c>
    </row>
    <row r="197" spans="1:8" x14ac:dyDescent="0.25">
      <c r="A197" s="150">
        <v>3</v>
      </c>
      <c r="B197" s="3" t="s">
        <v>267</v>
      </c>
      <c r="C197" s="114">
        <v>4</v>
      </c>
      <c r="D197" s="5">
        <v>50</v>
      </c>
      <c r="E197" s="10">
        <v>400</v>
      </c>
      <c r="F197" s="49"/>
      <c r="G197" s="151">
        <f t="shared" si="10"/>
        <v>0</v>
      </c>
    </row>
    <row r="198" spans="1:8" x14ac:dyDescent="0.25">
      <c r="A198" s="150">
        <v>4</v>
      </c>
      <c r="B198" s="3" t="s">
        <v>268</v>
      </c>
      <c r="C198" s="114">
        <v>4</v>
      </c>
      <c r="D198" s="5">
        <v>10</v>
      </c>
      <c r="E198" s="10">
        <v>90</v>
      </c>
      <c r="F198" s="49"/>
      <c r="G198" s="151">
        <f t="shared" si="10"/>
        <v>0</v>
      </c>
    </row>
    <row r="199" spans="1:8" x14ac:dyDescent="0.25">
      <c r="A199" s="150">
        <v>5</v>
      </c>
      <c r="B199" s="3" t="s">
        <v>269</v>
      </c>
      <c r="C199" s="114">
        <v>4</v>
      </c>
      <c r="D199" s="5">
        <v>20</v>
      </c>
      <c r="E199" s="10">
        <v>300</v>
      </c>
      <c r="F199" s="49"/>
      <c r="G199" s="151">
        <f t="shared" si="10"/>
        <v>0</v>
      </c>
    </row>
    <row r="200" spans="1:8" x14ac:dyDescent="0.25">
      <c r="A200" s="150">
        <v>6</v>
      </c>
      <c r="B200" s="3" t="s">
        <v>270</v>
      </c>
      <c r="C200" s="114">
        <v>2</v>
      </c>
      <c r="D200" s="5">
        <v>20</v>
      </c>
      <c r="E200" s="10">
        <v>300</v>
      </c>
      <c r="F200" s="49"/>
      <c r="G200" s="151">
        <f t="shared" si="10"/>
        <v>0</v>
      </c>
    </row>
    <row r="201" spans="1:8" x14ac:dyDescent="0.25">
      <c r="A201" s="150">
        <v>7</v>
      </c>
      <c r="B201" s="115" t="s">
        <v>271</v>
      </c>
      <c r="C201" s="114">
        <v>4</v>
      </c>
      <c r="D201" s="5">
        <v>50</v>
      </c>
      <c r="E201" s="10">
        <v>350</v>
      </c>
      <c r="F201" s="49"/>
      <c r="G201" s="151">
        <f t="shared" si="10"/>
        <v>0</v>
      </c>
    </row>
    <row r="202" spans="1:8" x14ac:dyDescent="0.25">
      <c r="A202" s="150">
        <v>8</v>
      </c>
      <c r="B202" s="116" t="s">
        <v>272</v>
      </c>
      <c r="C202" s="114">
        <v>4</v>
      </c>
      <c r="D202" s="5">
        <v>50</v>
      </c>
      <c r="E202" s="10">
        <v>280</v>
      </c>
      <c r="F202" s="49"/>
      <c r="G202" s="151">
        <f t="shared" si="10"/>
        <v>0</v>
      </c>
    </row>
    <row r="203" spans="1:8" x14ac:dyDescent="0.25">
      <c r="A203" s="150">
        <v>9</v>
      </c>
      <c r="B203" s="116" t="s">
        <v>273</v>
      </c>
      <c r="C203" s="114">
        <v>6</v>
      </c>
      <c r="D203" s="5">
        <v>30</v>
      </c>
      <c r="E203" s="10">
        <v>160</v>
      </c>
      <c r="F203" s="49"/>
      <c r="G203" s="151">
        <f t="shared" si="10"/>
        <v>0</v>
      </c>
    </row>
    <row r="204" spans="1:8" x14ac:dyDescent="0.25">
      <c r="A204" s="150">
        <v>10</v>
      </c>
      <c r="B204" s="116" t="s">
        <v>274</v>
      </c>
      <c r="C204" s="114">
        <v>6</v>
      </c>
      <c r="D204" s="5">
        <v>30</v>
      </c>
      <c r="E204" s="10">
        <v>160</v>
      </c>
      <c r="F204" s="49"/>
      <c r="G204" s="151">
        <f t="shared" si="10"/>
        <v>0</v>
      </c>
    </row>
    <row r="205" spans="1:8" x14ac:dyDescent="0.25">
      <c r="A205" s="150">
        <v>11</v>
      </c>
      <c r="B205" s="116" t="s">
        <v>275</v>
      </c>
      <c r="C205" s="114">
        <v>6</v>
      </c>
      <c r="D205" s="5">
        <v>20</v>
      </c>
      <c r="E205" s="10">
        <v>90</v>
      </c>
      <c r="F205" s="49"/>
      <c r="G205" s="151">
        <f t="shared" si="10"/>
        <v>0</v>
      </c>
    </row>
    <row r="206" spans="1:8" x14ac:dyDescent="0.25">
      <c r="A206" s="150">
        <v>12</v>
      </c>
      <c r="B206" s="116" t="s">
        <v>276</v>
      </c>
      <c r="C206" s="114">
        <v>6</v>
      </c>
      <c r="D206" s="5">
        <v>20</v>
      </c>
      <c r="E206" s="10">
        <v>90</v>
      </c>
      <c r="F206" s="49"/>
      <c r="G206" s="151">
        <f t="shared" si="10"/>
        <v>0</v>
      </c>
    </row>
    <row r="207" spans="1:8" ht="15" customHeight="1" x14ac:dyDescent="0.25">
      <c r="A207" s="150">
        <v>13</v>
      </c>
      <c r="B207" s="116" t="s">
        <v>277</v>
      </c>
      <c r="C207" s="114">
        <v>6</v>
      </c>
      <c r="D207" s="5">
        <v>20</v>
      </c>
      <c r="E207" s="10">
        <v>90</v>
      </c>
      <c r="F207" s="49"/>
      <c r="G207" s="151">
        <f t="shared" si="10"/>
        <v>0</v>
      </c>
    </row>
    <row r="208" spans="1:8" x14ac:dyDescent="0.25">
      <c r="A208" s="150">
        <v>14</v>
      </c>
      <c r="B208" s="116" t="s">
        <v>278</v>
      </c>
      <c r="C208" s="114">
        <v>6</v>
      </c>
      <c r="D208" s="5">
        <v>20</v>
      </c>
      <c r="E208" s="10">
        <v>80</v>
      </c>
      <c r="F208" s="49"/>
      <c r="G208" s="151">
        <f t="shared" si="10"/>
        <v>0</v>
      </c>
    </row>
    <row r="209" spans="1:7" x14ac:dyDescent="0.25">
      <c r="A209" s="150">
        <v>15</v>
      </c>
      <c r="B209" s="116" t="s">
        <v>279</v>
      </c>
      <c r="C209" s="114">
        <v>6</v>
      </c>
      <c r="D209" s="5">
        <v>20</v>
      </c>
      <c r="E209" s="10">
        <v>80</v>
      </c>
      <c r="F209" s="49"/>
      <c r="G209" s="151">
        <f t="shared" si="10"/>
        <v>0</v>
      </c>
    </row>
    <row r="210" spans="1:7" x14ac:dyDescent="0.25">
      <c r="A210" s="150">
        <v>16</v>
      </c>
      <c r="B210" s="116" t="s">
        <v>280</v>
      </c>
      <c r="C210" s="114">
        <v>6</v>
      </c>
      <c r="D210" s="5">
        <v>20</v>
      </c>
      <c r="E210" s="10">
        <v>80</v>
      </c>
      <c r="F210" s="49"/>
      <c r="G210" s="151">
        <f t="shared" si="10"/>
        <v>0</v>
      </c>
    </row>
    <row r="211" spans="1:7" x14ac:dyDescent="0.25">
      <c r="A211" s="150">
        <v>17</v>
      </c>
      <c r="B211" s="3" t="s">
        <v>281</v>
      </c>
      <c r="C211" s="114">
        <v>1</v>
      </c>
      <c r="D211" s="5">
        <v>50</v>
      </c>
      <c r="E211" s="10">
        <v>400</v>
      </c>
      <c r="F211" s="49"/>
      <c r="G211" s="151">
        <f t="shared" si="10"/>
        <v>0</v>
      </c>
    </row>
    <row r="212" spans="1:7" x14ac:dyDescent="0.25">
      <c r="A212" s="150">
        <v>18</v>
      </c>
      <c r="B212" s="3" t="s">
        <v>282</v>
      </c>
      <c r="C212" s="114">
        <v>10</v>
      </c>
      <c r="D212" s="5">
        <v>30</v>
      </c>
      <c r="E212" s="10">
        <v>100</v>
      </c>
      <c r="F212" s="49"/>
      <c r="G212" s="151">
        <f t="shared" si="10"/>
        <v>0</v>
      </c>
    </row>
    <row r="213" spans="1:7" x14ac:dyDescent="0.25">
      <c r="A213" s="150">
        <v>19</v>
      </c>
      <c r="B213" s="3" t="s">
        <v>283</v>
      </c>
      <c r="C213" s="114">
        <v>8</v>
      </c>
      <c r="D213" s="5">
        <v>30</v>
      </c>
      <c r="E213" s="10">
        <v>140</v>
      </c>
      <c r="F213" s="49"/>
      <c r="G213" s="151">
        <f t="shared" si="10"/>
        <v>0</v>
      </c>
    </row>
    <row r="214" spans="1:7" x14ac:dyDescent="0.25">
      <c r="A214" s="150">
        <v>20</v>
      </c>
      <c r="B214" s="3" t="s">
        <v>284</v>
      </c>
      <c r="C214" s="114">
        <v>8</v>
      </c>
      <c r="D214" s="5">
        <v>30</v>
      </c>
      <c r="E214" s="10">
        <v>150</v>
      </c>
      <c r="F214" s="49"/>
      <c r="G214" s="151">
        <f t="shared" si="10"/>
        <v>0</v>
      </c>
    </row>
    <row r="215" spans="1:7" x14ac:dyDescent="0.25">
      <c r="A215" s="150">
        <v>21</v>
      </c>
      <c r="B215" s="3" t="s">
        <v>285</v>
      </c>
      <c r="C215" s="114">
        <v>8</v>
      </c>
      <c r="D215" s="5">
        <v>30</v>
      </c>
      <c r="E215" s="10">
        <v>120</v>
      </c>
      <c r="F215" s="49"/>
      <c r="G215" s="151">
        <f t="shared" si="10"/>
        <v>0</v>
      </c>
    </row>
    <row r="216" spans="1:7" x14ac:dyDescent="0.25">
      <c r="A216" s="150">
        <v>22</v>
      </c>
      <c r="B216" s="3" t="s">
        <v>286</v>
      </c>
      <c r="C216" s="114">
        <v>4</v>
      </c>
      <c r="D216" s="5">
        <v>30</v>
      </c>
      <c r="E216" s="10">
        <v>100</v>
      </c>
      <c r="F216" s="49"/>
      <c r="G216" s="151">
        <f t="shared" si="10"/>
        <v>0</v>
      </c>
    </row>
    <row r="217" spans="1:7" x14ac:dyDescent="0.25">
      <c r="A217" s="150">
        <v>23</v>
      </c>
      <c r="B217" s="3" t="s">
        <v>287</v>
      </c>
      <c r="C217" s="114">
        <v>8</v>
      </c>
      <c r="D217" s="5">
        <v>30</v>
      </c>
      <c r="E217" s="10">
        <v>110</v>
      </c>
      <c r="F217" s="49"/>
      <c r="G217" s="151">
        <f t="shared" si="10"/>
        <v>0</v>
      </c>
    </row>
    <row r="218" spans="1:7" x14ac:dyDescent="0.25">
      <c r="A218" s="150">
        <v>24</v>
      </c>
      <c r="B218" s="3" t="s">
        <v>288</v>
      </c>
      <c r="C218" s="114">
        <v>4</v>
      </c>
      <c r="D218" s="5">
        <v>30</v>
      </c>
      <c r="E218" s="10">
        <v>80</v>
      </c>
      <c r="F218" s="49"/>
      <c r="G218" s="151">
        <f t="shared" si="10"/>
        <v>0</v>
      </c>
    </row>
    <row r="219" spans="1:7" x14ac:dyDescent="0.25">
      <c r="A219" s="150">
        <v>25</v>
      </c>
      <c r="B219" s="3" t="s">
        <v>289</v>
      </c>
      <c r="C219" s="107">
        <v>9</v>
      </c>
      <c r="D219" s="5">
        <v>7</v>
      </c>
      <c r="E219" s="9">
        <v>65</v>
      </c>
      <c r="F219" s="4"/>
      <c r="G219" s="137">
        <f t="shared" si="10"/>
        <v>0</v>
      </c>
    </row>
    <row r="220" spans="1:7" x14ac:dyDescent="0.25">
      <c r="A220" s="150">
        <v>26</v>
      </c>
      <c r="B220" s="3" t="s">
        <v>396</v>
      </c>
      <c r="C220" s="4">
        <v>3</v>
      </c>
      <c r="D220" s="5">
        <v>20</v>
      </c>
      <c r="E220" s="10">
        <v>90</v>
      </c>
      <c r="F220" s="49"/>
      <c r="G220" s="151">
        <f t="shared" si="10"/>
        <v>0</v>
      </c>
    </row>
    <row r="221" spans="1:7" x14ac:dyDescent="0.25">
      <c r="A221" s="150">
        <v>27</v>
      </c>
      <c r="B221" s="3" t="s">
        <v>290</v>
      </c>
      <c r="C221" s="4">
        <v>3</v>
      </c>
      <c r="D221" s="5">
        <v>30</v>
      </c>
      <c r="E221" s="10">
        <v>300</v>
      </c>
      <c r="F221" s="49"/>
      <c r="G221" s="151">
        <f>D221*F221</f>
        <v>0</v>
      </c>
    </row>
    <row r="222" spans="1:7" x14ac:dyDescent="0.25">
      <c r="A222" s="150">
        <v>28</v>
      </c>
      <c r="B222" s="3" t="s">
        <v>291</v>
      </c>
      <c r="C222" s="4">
        <v>20</v>
      </c>
      <c r="D222" s="5">
        <v>10</v>
      </c>
      <c r="E222" s="10">
        <v>50</v>
      </c>
      <c r="F222" s="49"/>
      <c r="G222" s="151">
        <f>D222*F222</f>
        <v>0</v>
      </c>
    </row>
    <row r="223" spans="1:7" x14ac:dyDescent="0.25">
      <c r="A223" s="150">
        <v>29</v>
      </c>
      <c r="B223" s="3" t="s">
        <v>292</v>
      </c>
      <c r="C223" s="117">
        <v>80</v>
      </c>
      <c r="D223" s="118">
        <v>7</v>
      </c>
      <c r="E223" s="10">
        <v>10</v>
      </c>
      <c r="F223" s="49"/>
      <c r="G223" s="151">
        <f>SUM(D223*F223)</f>
        <v>0</v>
      </c>
    </row>
    <row r="224" spans="1:7" x14ac:dyDescent="0.25">
      <c r="A224" s="150">
        <v>30</v>
      </c>
      <c r="B224" s="3" t="s">
        <v>4</v>
      </c>
      <c r="C224" s="4">
        <v>12</v>
      </c>
      <c r="D224" s="5">
        <v>12</v>
      </c>
      <c r="E224" s="10">
        <v>50</v>
      </c>
      <c r="F224" s="119"/>
      <c r="G224" s="151">
        <f>SUM(D224*F224)</f>
        <v>0</v>
      </c>
    </row>
    <row r="225" spans="1:7" x14ac:dyDescent="0.25">
      <c r="A225" s="150">
        <v>31</v>
      </c>
      <c r="B225" s="3" t="s">
        <v>293</v>
      </c>
      <c r="C225" s="4">
        <v>12</v>
      </c>
      <c r="D225" s="5">
        <v>30</v>
      </c>
      <c r="E225" s="10">
        <v>150</v>
      </c>
      <c r="F225" s="119"/>
      <c r="G225" s="151">
        <f t="shared" ref="G225:G230" si="11">SUM(D225*F225)</f>
        <v>0</v>
      </c>
    </row>
    <row r="226" spans="1:7" x14ac:dyDescent="0.25">
      <c r="A226" s="150">
        <v>32</v>
      </c>
      <c r="B226" s="45" t="s">
        <v>294</v>
      </c>
      <c r="C226" s="4">
        <v>7</v>
      </c>
      <c r="D226" s="5">
        <v>8</v>
      </c>
      <c r="E226" s="120">
        <v>110</v>
      </c>
      <c r="F226" s="4"/>
      <c r="G226" s="151">
        <f t="shared" si="11"/>
        <v>0</v>
      </c>
    </row>
    <row r="227" spans="1:7" x14ac:dyDescent="0.25">
      <c r="A227" s="150">
        <v>33</v>
      </c>
      <c r="B227" s="3" t="s">
        <v>295</v>
      </c>
      <c r="C227" s="4">
        <v>57</v>
      </c>
      <c r="D227" s="119">
        <v>20</v>
      </c>
      <c r="E227" s="121">
        <v>170</v>
      </c>
      <c r="F227" s="119"/>
      <c r="G227" s="151">
        <f t="shared" si="11"/>
        <v>0</v>
      </c>
    </row>
    <row r="228" spans="1:7" x14ac:dyDescent="0.25">
      <c r="A228" s="150">
        <v>34</v>
      </c>
      <c r="B228" s="3" t="s">
        <v>296</v>
      </c>
      <c r="C228" s="50">
        <v>2</v>
      </c>
      <c r="D228" s="49">
        <v>20</v>
      </c>
      <c r="E228" s="10">
        <v>180</v>
      </c>
      <c r="F228" s="119"/>
      <c r="G228" s="151">
        <f t="shared" si="11"/>
        <v>0</v>
      </c>
    </row>
    <row r="229" spans="1:7" x14ac:dyDescent="0.25">
      <c r="A229" s="150">
        <v>35</v>
      </c>
      <c r="B229" s="3" t="s">
        <v>39</v>
      </c>
      <c r="C229" s="50">
        <v>10</v>
      </c>
      <c r="D229" s="49">
        <v>20</v>
      </c>
      <c r="E229" s="10">
        <v>120</v>
      </c>
      <c r="F229" s="119"/>
      <c r="G229" s="151">
        <f t="shared" si="11"/>
        <v>0</v>
      </c>
    </row>
    <row r="230" spans="1:7" ht="18" customHeight="1" x14ac:dyDescent="0.25">
      <c r="A230" s="150">
        <v>36</v>
      </c>
      <c r="B230" s="3" t="s">
        <v>297</v>
      </c>
      <c r="C230" s="4">
        <v>3</v>
      </c>
      <c r="D230" s="5">
        <v>50</v>
      </c>
      <c r="E230" s="10">
        <v>250</v>
      </c>
      <c r="F230" s="119"/>
      <c r="G230" s="151">
        <f t="shared" si="11"/>
        <v>0</v>
      </c>
    </row>
    <row r="231" spans="1:7" ht="18" customHeight="1" x14ac:dyDescent="0.25">
      <c r="A231" s="150">
        <v>37</v>
      </c>
      <c r="B231" s="3" t="s">
        <v>298</v>
      </c>
      <c r="C231" s="4">
        <v>3</v>
      </c>
      <c r="D231" s="5">
        <v>100</v>
      </c>
      <c r="E231" s="10">
        <v>570</v>
      </c>
      <c r="F231" s="119"/>
      <c r="G231" s="151">
        <f t="shared" si="10"/>
        <v>0</v>
      </c>
    </row>
    <row r="232" spans="1:7" ht="18" customHeight="1" x14ac:dyDescent="0.25">
      <c r="A232" s="150">
        <v>38</v>
      </c>
      <c r="B232" s="3" t="s">
        <v>299</v>
      </c>
      <c r="C232" s="4">
        <v>3</v>
      </c>
      <c r="D232" s="5">
        <v>50</v>
      </c>
      <c r="E232" s="10">
        <v>250</v>
      </c>
      <c r="F232" s="119"/>
      <c r="G232" s="151">
        <f t="shared" si="10"/>
        <v>0</v>
      </c>
    </row>
    <row r="233" spans="1:7" ht="18" customHeight="1" x14ac:dyDescent="0.25">
      <c r="A233" s="150">
        <v>39</v>
      </c>
      <c r="B233" s="3" t="s">
        <v>300</v>
      </c>
      <c r="C233" s="4">
        <v>3</v>
      </c>
      <c r="D233" s="5">
        <v>100</v>
      </c>
      <c r="E233" s="10">
        <v>570</v>
      </c>
      <c r="F233" s="49"/>
      <c r="G233" s="151">
        <f t="shared" si="10"/>
        <v>0</v>
      </c>
    </row>
    <row r="234" spans="1:7" ht="18" customHeight="1" x14ac:dyDescent="0.25">
      <c r="A234" s="150">
        <v>40</v>
      </c>
      <c r="B234" s="3" t="s">
        <v>301</v>
      </c>
      <c r="C234" s="4">
        <v>6</v>
      </c>
      <c r="D234" s="5">
        <v>50</v>
      </c>
      <c r="E234" s="10">
        <v>150</v>
      </c>
      <c r="F234" s="49"/>
      <c r="G234" s="151">
        <f t="shared" si="10"/>
        <v>0</v>
      </c>
    </row>
    <row r="235" spans="1:7" ht="18" customHeight="1" x14ac:dyDescent="0.25">
      <c r="A235" s="150">
        <v>41</v>
      </c>
      <c r="B235" s="3" t="s">
        <v>302</v>
      </c>
      <c r="C235" s="4">
        <v>3</v>
      </c>
      <c r="D235" s="5">
        <v>100</v>
      </c>
      <c r="E235" s="10">
        <v>700</v>
      </c>
      <c r="F235" s="49"/>
      <c r="G235" s="151">
        <f t="shared" si="10"/>
        <v>0</v>
      </c>
    </row>
    <row r="236" spans="1:7" ht="18" customHeight="1" x14ac:dyDescent="0.25">
      <c r="A236" s="150">
        <v>42</v>
      </c>
      <c r="B236" s="3" t="s">
        <v>303</v>
      </c>
      <c r="C236" s="4">
        <v>2</v>
      </c>
      <c r="D236" s="5">
        <v>100</v>
      </c>
      <c r="E236" s="10">
        <v>1500</v>
      </c>
      <c r="F236" s="49"/>
      <c r="G236" s="151">
        <f t="shared" si="10"/>
        <v>0</v>
      </c>
    </row>
    <row r="237" spans="1:7" ht="18" customHeight="1" x14ac:dyDescent="0.25">
      <c r="A237" s="150">
        <v>43</v>
      </c>
      <c r="B237" s="3" t="s">
        <v>304</v>
      </c>
      <c r="C237" s="4">
        <v>2</v>
      </c>
      <c r="D237" s="5">
        <v>100</v>
      </c>
      <c r="E237" s="10">
        <v>700</v>
      </c>
      <c r="F237" s="49"/>
      <c r="G237" s="151">
        <f t="shared" si="10"/>
        <v>0</v>
      </c>
    </row>
    <row r="238" spans="1:7" ht="15" customHeight="1" x14ac:dyDescent="0.25">
      <c r="A238" s="150">
        <v>44</v>
      </c>
      <c r="B238" s="3" t="s">
        <v>41</v>
      </c>
      <c r="C238" s="114">
        <v>6</v>
      </c>
      <c r="D238" s="5">
        <v>50</v>
      </c>
      <c r="E238" s="10">
        <v>1000</v>
      </c>
      <c r="F238" s="49"/>
      <c r="G238" s="151">
        <f t="shared" si="10"/>
        <v>0</v>
      </c>
    </row>
    <row r="239" spans="1:7" ht="15" customHeight="1" x14ac:dyDescent="0.25">
      <c r="A239" s="150">
        <v>45</v>
      </c>
      <c r="B239" s="3" t="s">
        <v>305</v>
      </c>
      <c r="C239" s="114">
        <v>4</v>
      </c>
      <c r="D239" s="5">
        <v>100</v>
      </c>
      <c r="E239" s="10">
        <v>1100</v>
      </c>
      <c r="F239" s="49"/>
      <c r="G239" s="151">
        <f t="shared" si="10"/>
        <v>0</v>
      </c>
    </row>
    <row r="240" spans="1:7" ht="15" customHeight="1" x14ac:dyDescent="0.25">
      <c r="A240" s="150">
        <v>46</v>
      </c>
      <c r="B240" s="3" t="s">
        <v>40</v>
      </c>
      <c r="C240" s="4">
        <v>1</v>
      </c>
      <c r="D240" s="5">
        <v>200</v>
      </c>
      <c r="E240" s="10">
        <v>400</v>
      </c>
      <c r="F240" s="49"/>
      <c r="G240" s="151">
        <f t="shared" si="10"/>
        <v>0</v>
      </c>
    </row>
    <row r="241" spans="1:8" x14ac:dyDescent="0.25">
      <c r="A241" s="150">
        <v>47</v>
      </c>
      <c r="B241" s="3" t="s">
        <v>306</v>
      </c>
      <c r="C241" s="114">
        <v>3</v>
      </c>
      <c r="D241" s="5">
        <v>30</v>
      </c>
      <c r="E241" s="11">
        <v>200</v>
      </c>
      <c r="F241" s="49"/>
      <c r="G241" s="151">
        <f t="shared" si="10"/>
        <v>0</v>
      </c>
    </row>
    <row r="242" spans="1:8" x14ac:dyDescent="0.25">
      <c r="A242" s="150">
        <v>48</v>
      </c>
      <c r="B242" s="3" t="s">
        <v>307</v>
      </c>
      <c r="C242" s="114">
        <v>4</v>
      </c>
      <c r="D242" s="5">
        <v>75</v>
      </c>
      <c r="E242" s="11">
        <v>480</v>
      </c>
      <c r="F242" s="49"/>
      <c r="G242" s="151">
        <f t="shared" si="10"/>
        <v>0</v>
      </c>
    </row>
    <row r="243" spans="1:8" x14ac:dyDescent="0.25">
      <c r="A243" s="150">
        <v>49</v>
      </c>
      <c r="B243" s="3" t="s">
        <v>308</v>
      </c>
      <c r="C243" s="4">
        <v>1</v>
      </c>
      <c r="D243" s="5">
        <v>50</v>
      </c>
      <c r="E243" s="7">
        <v>190</v>
      </c>
      <c r="F243" s="4"/>
      <c r="G243" s="151">
        <f t="shared" si="10"/>
        <v>0</v>
      </c>
    </row>
    <row r="244" spans="1:8" x14ac:dyDescent="0.25">
      <c r="A244" s="150">
        <v>50</v>
      </c>
      <c r="B244" s="3" t="s">
        <v>309</v>
      </c>
      <c r="C244" s="4">
        <v>3</v>
      </c>
      <c r="D244" s="5">
        <v>250</v>
      </c>
      <c r="E244" s="11">
        <v>3500</v>
      </c>
      <c r="F244" s="4"/>
      <c r="G244" s="151">
        <f t="shared" si="10"/>
        <v>0</v>
      </c>
    </row>
    <row r="245" spans="1:8" ht="25.5" x14ac:dyDescent="0.25">
      <c r="A245" s="150">
        <v>51</v>
      </c>
      <c r="B245" s="3" t="s">
        <v>310</v>
      </c>
      <c r="C245" s="4">
        <v>3</v>
      </c>
      <c r="D245" s="5">
        <v>70</v>
      </c>
      <c r="E245" s="11">
        <v>1300</v>
      </c>
      <c r="F245" s="49"/>
      <c r="G245" s="151">
        <f t="shared" si="10"/>
        <v>0</v>
      </c>
    </row>
    <row r="246" spans="1:8" ht="19.899999999999999" customHeight="1" x14ac:dyDescent="0.25">
      <c r="A246" s="150">
        <v>52</v>
      </c>
      <c r="B246" s="3" t="s">
        <v>311</v>
      </c>
      <c r="C246" s="4">
        <v>1</v>
      </c>
      <c r="D246" s="5">
        <v>70</v>
      </c>
      <c r="E246" s="11">
        <v>1600</v>
      </c>
      <c r="F246" s="49"/>
      <c r="G246" s="151">
        <f t="shared" si="10"/>
        <v>0</v>
      </c>
    </row>
    <row r="247" spans="1:8" x14ac:dyDescent="0.25">
      <c r="A247" s="150">
        <v>53</v>
      </c>
      <c r="B247" s="3" t="s">
        <v>312</v>
      </c>
      <c r="C247" s="4">
        <v>3</v>
      </c>
      <c r="D247" s="5">
        <v>70</v>
      </c>
      <c r="E247" s="11">
        <v>1800</v>
      </c>
      <c r="F247" s="49"/>
      <c r="G247" s="151">
        <f t="shared" si="10"/>
        <v>0</v>
      </c>
      <c r="H247" s="2"/>
    </row>
    <row r="248" spans="1:8" x14ac:dyDescent="0.25">
      <c r="A248" s="150">
        <v>54</v>
      </c>
      <c r="B248" s="3" t="s">
        <v>313</v>
      </c>
      <c r="C248" s="122">
        <v>12</v>
      </c>
      <c r="D248" s="47">
        <v>6</v>
      </c>
      <c r="E248" s="48">
        <v>85</v>
      </c>
      <c r="F248" s="46"/>
      <c r="G248" s="151">
        <f>SUM(D248*F248)</f>
        <v>0</v>
      </c>
    </row>
    <row r="249" spans="1:8" ht="15.75" thickBot="1" x14ac:dyDescent="0.3">
      <c r="A249" s="150">
        <v>55</v>
      </c>
      <c r="B249" s="3" t="s">
        <v>314</v>
      </c>
      <c r="C249" s="114">
        <v>12</v>
      </c>
      <c r="D249" s="5">
        <v>6</v>
      </c>
      <c r="E249" s="9">
        <v>110</v>
      </c>
      <c r="F249" s="4"/>
      <c r="G249" s="151">
        <f>SUM(D249*F249)</f>
        <v>0</v>
      </c>
      <c r="H249" s="39"/>
    </row>
    <row r="250" spans="1:8" s="2" customFormat="1" ht="16.5" thickBot="1" x14ac:dyDescent="0.3">
      <c r="A250" s="103"/>
      <c r="B250" s="40" t="s">
        <v>315</v>
      </c>
      <c r="C250" s="40"/>
      <c r="D250" s="40"/>
      <c r="E250" s="40"/>
      <c r="F250" s="41">
        <v>1</v>
      </c>
      <c r="G250" s="42"/>
      <c r="H250" s="149">
        <f>SUM(G252:G273)</f>
        <v>0</v>
      </c>
    </row>
    <row r="251" spans="1:8" ht="24" customHeight="1" x14ac:dyDescent="0.25">
      <c r="A251" s="152" t="s">
        <v>0</v>
      </c>
      <c r="B251" s="43" t="s">
        <v>91</v>
      </c>
      <c r="C251" s="43" t="s">
        <v>35</v>
      </c>
      <c r="D251" s="43" t="s">
        <v>92</v>
      </c>
      <c r="E251" s="43" t="s">
        <v>93</v>
      </c>
      <c r="F251" s="43" t="s">
        <v>94</v>
      </c>
      <c r="G251" s="153" t="s">
        <v>36</v>
      </c>
    </row>
    <row r="252" spans="1:8" x14ac:dyDescent="0.25">
      <c r="A252" s="150">
        <v>1</v>
      </c>
      <c r="B252" s="3" t="s">
        <v>316</v>
      </c>
      <c r="C252" s="4">
        <v>10</v>
      </c>
      <c r="D252" s="5">
        <v>10</v>
      </c>
      <c r="E252" s="10">
        <v>80</v>
      </c>
      <c r="F252" s="49"/>
      <c r="G252" s="151">
        <f t="shared" ref="G252:G273" si="12">D252*F252</f>
        <v>0</v>
      </c>
    </row>
    <row r="253" spans="1:8" x14ac:dyDescent="0.25">
      <c r="A253" s="150">
        <v>2</v>
      </c>
      <c r="B253" s="3" t="s">
        <v>317</v>
      </c>
      <c r="C253" s="4">
        <v>4</v>
      </c>
      <c r="D253" s="5">
        <v>10</v>
      </c>
      <c r="E253" s="10">
        <v>80</v>
      </c>
      <c r="F253" s="49"/>
      <c r="G253" s="151">
        <f t="shared" si="12"/>
        <v>0</v>
      </c>
    </row>
    <row r="254" spans="1:8" x14ac:dyDescent="0.25">
      <c r="A254" s="150">
        <v>3</v>
      </c>
      <c r="B254" s="3" t="s">
        <v>318</v>
      </c>
      <c r="C254" s="4">
        <v>10</v>
      </c>
      <c r="D254" s="5">
        <v>15</v>
      </c>
      <c r="E254" s="10">
        <v>80</v>
      </c>
      <c r="F254" s="49"/>
      <c r="G254" s="151">
        <f t="shared" si="12"/>
        <v>0</v>
      </c>
    </row>
    <row r="255" spans="1:8" x14ac:dyDescent="0.25">
      <c r="A255" s="150">
        <v>4</v>
      </c>
      <c r="B255" s="3" t="s">
        <v>319</v>
      </c>
      <c r="C255" s="4">
        <v>19</v>
      </c>
      <c r="D255" s="5">
        <v>20</v>
      </c>
      <c r="E255" s="10">
        <v>90</v>
      </c>
      <c r="F255" s="49"/>
      <c r="G255" s="151">
        <f t="shared" si="12"/>
        <v>0</v>
      </c>
    </row>
    <row r="256" spans="1:8" x14ac:dyDescent="0.25">
      <c r="A256" s="150">
        <v>5</v>
      </c>
      <c r="B256" s="3" t="s">
        <v>320</v>
      </c>
      <c r="C256" s="4">
        <v>36</v>
      </c>
      <c r="D256" s="5">
        <v>5</v>
      </c>
      <c r="E256" s="10">
        <v>30</v>
      </c>
      <c r="F256" s="49"/>
      <c r="G256" s="151">
        <f t="shared" si="12"/>
        <v>0</v>
      </c>
    </row>
    <row r="257" spans="1:7" x14ac:dyDescent="0.25">
      <c r="A257" s="150">
        <v>6</v>
      </c>
      <c r="B257" s="3" t="s">
        <v>321</v>
      </c>
      <c r="C257" s="4">
        <v>40</v>
      </c>
      <c r="D257" s="5">
        <v>5</v>
      </c>
      <c r="E257" s="10">
        <v>30</v>
      </c>
      <c r="F257" s="49"/>
      <c r="G257" s="151">
        <f t="shared" si="12"/>
        <v>0</v>
      </c>
    </row>
    <row r="258" spans="1:7" x14ac:dyDescent="0.25">
      <c r="A258" s="150">
        <v>7</v>
      </c>
      <c r="B258" s="3" t="s">
        <v>322</v>
      </c>
      <c r="C258" s="4">
        <v>3</v>
      </c>
      <c r="D258" s="5">
        <v>10</v>
      </c>
      <c r="E258" s="10">
        <v>100</v>
      </c>
      <c r="F258" s="49"/>
      <c r="G258" s="151">
        <f t="shared" si="12"/>
        <v>0</v>
      </c>
    </row>
    <row r="259" spans="1:7" x14ac:dyDescent="0.25">
      <c r="A259" s="150">
        <v>8</v>
      </c>
      <c r="B259" s="3" t="s">
        <v>323</v>
      </c>
      <c r="C259" s="4">
        <v>2</v>
      </c>
      <c r="D259" s="5">
        <v>10</v>
      </c>
      <c r="E259" s="10">
        <v>95</v>
      </c>
      <c r="F259" s="49"/>
      <c r="G259" s="151">
        <f t="shared" si="12"/>
        <v>0</v>
      </c>
    </row>
    <row r="260" spans="1:7" x14ac:dyDescent="0.25">
      <c r="A260" s="150">
        <v>9</v>
      </c>
      <c r="B260" s="3" t="s">
        <v>324</v>
      </c>
      <c r="C260" s="4">
        <v>2</v>
      </c>
      <c r="D260" s="5">
        <v>10</v>
      </c>
      <c r="E260" s="10">
        <v>120</v>
      </c>
      <c r="F260" s="49"/>
      <c r="G260" s="151">
        <f t="shared" si="12"/>
        <v>0</v>
      </c>
    </row>
    <row r="261" spans="1:7" x14ac:dyDescent="0.25">
      <c r="A261" s="150">
        <v>10</v>
      </c>
      <c r="B261" s="3" t="s">
        <v>325</v>
      </c>
      <c r="C261" s="4">
        <v>2</v>
      </c>
      <c r="D261" s="5">
        <v>10</v>
      </c>
      <c r="E261" s="10">
        <v>100</v>
      </c>
      <c r="F261" s="49"/>
      <c r="G261" s="151">
        <f t="shared" si="12"/>
        <v>0</v>
      </c>
    </row>
    <row r="262" spans="1:7" x14ac:dyDescent="0.25">
      <c r="A262" s="150">
        <v>11</v>
      </c>
      <c r="B262" s="3" t="s">
        <v>326</v>
      </c>
      <c r="C262" s="4">
        <v>2</v>
      </c>
      <c r="D262" s="5">
        <v>10</v>
      </c>
      <c r="E262" s="10">
        <v>80</v>
      </c>
      <c r="F262" s="49"/>
      <c r="G262" s="151">
        <f t="shared" si="12"/>
        <v>0</v>
      </c>
    </row>
    <row r="263" spans="1:7" x14ac:dyDescent="0.25">
      <c r="A263" s="150">
        <v>12</v>
      </c>
      <c r="B263" s="3" t="s">
        <v>327</v>
      </c>
      <c r="C263" s="4">
        <v>2</v>
      </c>
      <c r="D263" s="5">
        <v>10</v>
      </c>
      <c r="E263" s="10">
        <v>100</v>
      </c>
      <c r="F263" s="49"/>
      <c r="G263" s="151">
        <f t="shared" si="12"/>
        <v>0</v>
      </c>
    </row>
    <row r="264" spans="1:7" x14ac:dyDescent="0.25">
      <c r="A264" s="150">
        <v>13</v>
      </c>
      <c r="B264" s="3" t="s">
        <v>328</v>
      </c>
      <c r="C264" s="4">
        <v>2</v>
      </c>
      <c r="D264" s="5">
        <v>10</v>
      </c>
      <c r="E264" s="10">
        <v>80</v>
      </c>
      <c r="F264" s="49"/>
      <c r="G264" s="151">
        <f t="shared" si="12"/>
        <v>0</v>
      </c>
    </row>
    <row r="265" spans="1:7" x14ac:dyDescent="0.25">
      <c r="A265" s="150">
        <v>14</v>
      </c>
      <c r="B265" s="3" t="s">
        <v>329</v>
      </c>
      <c r="C265" s="4">
        <v>2</v>
      </c>
      <c r="D265" s="5">
        <v>10</v>
      </c>
      <c r="E265" s="10">
        <v>120</v>
      </c>
      <c r="F265" s="49"/>
      <c r="G265" s="151">
        <f t="shared" si="12"/>
        <v>0</v>
      </c>
    </row>
    <row r="266" spans="1:7" x14ac:dyDescent="0.25">
      <c r="A266" s="150">
        <v>15</v>
      </c>
      <c r="B266" s="3" t="s">
        <v>330</v>
      </c>
      <c r="C266" s="4">
        <v>2</v>
      </c>
      <c r="D266" s="5">
        <v>10</v>
      </c>
      <c r="E266" s="10">
        <v>140</v>
      </c>
      <c r="F266" s="49"/>
      <c r="G266" s="151">
        <f t="shared" si="12"/>
        <v>0</v>
      </c>
    </row>
    <row r="267" spans="1:7" x14ac:dyDescent="0.25">
      <c r="A267" s="150">
        <v>16</v>
      </c>
      <c r="B267" s="3" t="s">
        <v>331</v>
      </c>
      <c r="C267" s="4">
        <v>2</v>
      </c>
      <c r="D267" s="5">
        <v>10</v>
      </c>
      <c r="E267" s="10">
        <v>120</v>
      </c>
      <c r="F267" s="49"/>
      <c r="G267" s="151">
        <f t="shared" si="12"/>
        <v>0</v>
      </c>
    </row>
    <row r="268" spans="1:7" x14ac:dyDescent="0.25">
      <c r="A268" s="150">
        <v>17</v>
      </c>
      <c r="B268" s="3" t="s">
        <v>332</v>
      </c>
      <c r="C268" s="4">
        <v>2</v>
      </c>
      <c r="D268" s="5">
        <v>10</v>
      </c>
      <c r="E268" s="10">
        <v>90</v>
      </c>
      <c r="F268" s="49"/>
      <c r="G268" s="151">
        <f t="shared" si="12"/>
        <v>0</v>
      </c>
    </row>
    <row r="269" spans="1:7" x14ac:dyDescent="0.25">
      <c r="A269" s="150">
        <v>18</v>
      </c>
      <c r="B269" s="3" t="s">
        <v>333</v>
      </c>
      <c r="C269" s="4">
        <v>2</v>
      </c>
      <c r="D269" s="5">
        <v>20</v>
      </c>
      <c r="E269" s="10">
        <v>120</v>
      </c>
      <c r="F269" s="49"/>
      <c r="G269" s="151">
        <f t="shared" si="12"/>
        <v>0</v>
      </c>
    </row>
    <row r="270" spans="1:7" x14ac:dyDescent="0.25">
      <c r="A270" s="150">
        <v>19</v>
      </c>
      <c r="B270" s="3" t="s">
        <v>334</v>
      </c>
      <c r="C270" s="4">
        <v>2</v>
      </c>
      <c r="D270" s="5">
        <v>20</v>
      </c>
      <c r="E270" s="10">
        <v>150</v>
      </c>
      <c r="F270" s="49"/>
      <c r="G270" s="151">
        <f t="shared" si="12"/>
        <v>0</v>
      </c>
    </row>
    <row r="271" spans="1:7" x14ac:dyDescent="0.25">
      <c r="A271" s="150">
        <v>20</v>
      </c>
      <c r="B271" s="3" t="s">
        <v>335</v>
      </c>
      <c r="C271" s="4">
        <v>2</v>
      </c>
      <c r="D271" s="5">
        <v>20</v>
      </c>
      <c r="E271" s="10">
        <v>130</v>
      </c>
      <c r="F271" s="49"/>
      <c r="G271" s="151">
        <f t="shared" si="12"/>
        <v>0</v>
      </c>
    </row>
    <row r="272" spans="1:7" x14ac:dyDescent="0.25">
      <c r="A272" s="150">
        <v>21</v>
      </c>
      <c r="B272" s="3" t="s">
        <v>336</v>
      </c>
      <c r="C272" s="4">
        <v>2</v>
      </c>
      <c r="D272" s="5">
        <v>20</v>
      </c>
      <c r="E272" s="10">
        <v>90</v>
      </c>
      <c r="F272" s="49"/>
      <c r="G272" s="151">
        <f t="shared" si="12"/>
        <v>0</v>
      </c>
    </row>
    <row r="273" spans="1:8" ht="15.75" thickBot="1" x14ac:dyDescent="0.3">
      <c r="A273" s="150">
        <v>22</v>
      </c>
      <c r="B273" s="3" t="s">
        <v>337</v>
      </c>
      <c r="C273" s="4">
        <v>20</v>
      </c>
      <c r="D273" s="5">
        <v>30</v>
      </c>
      <c r="E273" s="10">
        <v>200</v>
      </c>
      <c r="F273" s="49"/>
      <c r="G273" s="151">
        <f t="shared" si="12"/>
        <v>0</v>
      </c>
    </row>
    <row r="274" spans="1:8" ht="16.5" thickBot="1" x14ac:dyDescent="0.3">
      <c r="A274" s="103"/>
      <c r="B274" s="51" t="s">
        <v>338</v>
      </c>
      <c r="C274" s="40"/>
      <c r="D274" s="40"/>
      <c r="E274" s="40"/>
      <c r="F274" s="41">
        <v>1</v>
      </c>
      <c r="G274" s="42"/>
      <c r="H274" s="149">
        <f>SUM(G276:G324)</f>
        <v>0</v>
      </c>
    </row>
    <row r="275" spans="1:8" ht="24" customHeight="1" x14ac:dyDescent="0.25">
      <c r="A275" s="152"/>
      <c r="B275" s="43" t="s">
        <v>91</v>
      </c>
      <c r="C275" s="43" t="s">
        <v>35</v>
      </c>
      <c r="D275" s="43" t="s">
        <v>92</v>
      </c>
      <c r="E275" s="43" t="s">
        <v>93</v>
      </c>
      <c r="F275" s="43" t="s">
        <v>94</v>
      </c>
      <c r="G275" s="153" t="s">
        <v>36</v>
      </c>
    </row>
    <row r="276" spans="1:8" x14ac:dyDescent="0.25">
      <c r="A276" s="150">
        <v>1</v>
      </c>
      <c r="B276" s="3" t="s">
        <v>397</v>
      </c>
      <c r="C276" s="123">
        <v>12</v>
      </c>
      <c r="D276" s="5">
        <v>50</v>
      </c>
      <c r="E276" s="11">
        <v>500</v>
      </c>
      <c r="F276" s="4"/>
      <c r="G276" s="151">
        <f t="shared" ref="G276:G324" si="13">SUM(D276*F276)</f>
        <v>0</v>
      </c>
    </row>
    <row r="277" spans="1:8" x14ac:dyDescent="0.25">
      <c r="A277" s="150">
        <v>2</v>
      </c>
      <c r="B277" s="3" t="s">
        <v>398</v>
      </c>
      <c r="C277" s="123">
        <v>12</v>
      </c>
      <c r="D277" s="5">
        <v>50</v>
      </c>
      <c r="E277" s="11">
        <v>500</v>
      </c>
      <c r="F277" s="4"/>
      <c r="G277" s="151">
        <f t="shared" si="13"/>
        <v>0</v>
      </c>
    </row>
    <row r="278" spans="1:8" x14ac:dyDescent="0.25">
      <c r="A278" s="150">
        <v>3</v>
      </c>
      <c r="B278" s="3" t="s">
        <v>339</v>
      </c>
      <c r="C278" s="123">
        <v>8</v>
      </c>
      <c r="D278" s="5">
        <v>50</v>
      </c>
      <c r="E278" s="11">
        <v>800</v>
      </c>
      <c r="F278" s="4"/>
      <c r="G278" s="151">
        <f t="shared" si="13"/>
        <v>0</v>
      </c>
    </row>
    <row r="279" spans="1:8" x14ac:dyDescent="0.25">
      <c r="A279" s="150">
        <v>4</v>
      </c>
      <c r="B279" s="3" t="s">
        <v>340</v>
      </c>
      <c r="C279" s="123">
        <v>4</v>
      </c>
      <c r="D279" s="5">
        <v>50</v>
      </c>
      <c r="E279" s="11">
        <v>700</v>
      </c>
      <c r="F279" s="4"/>
      <c r="G279" s="151">
        <f t="shared" si="13"/>
        <v>0</v>
      </c>
    </row>
    <row r="280" spans="1:8" x14ac:dyDescent="0.25">
      <c r="A280" s="150">
        <v>5</v>
      </c>
      <c r="B280" s="3" t="s">
        <v>341</v>
      </c>
      <c r="C280" s="123">
        <v>4</v>
      </c>
      <c r="D280" s="5">
        <v>40</v>
      </c>
      <c r="E280" s="11">
        <v>400</v>
      </c>
      <c r="F280" s="4"/>
      <c r="G280" s="151">
        <f t="shared" si="13"/>
        <v>0</v>
      </c>
    </row>
    <row r="281" spans="1:8" x14ac:dyDescent="0.25">
      <c r="A281" s="150">
        <v>6</v>
      </c>
      <c r="B281" s="3" t="s">
        <v>45</v>
      </c>
      <c r="C281" s="56">
        <v>2</v>
      </c>
      <c r="D281" s="5">
        <v>30</v>
      </c>
      <c r="E281" s="11">
        <v>300</v>
      </c>
      <c r="F281" s="4"/>
      <c r="G281" s="151">
        <f t="shared" si="13"/>
        <v>0</v>
      </c>
    </row>
    <row r="282" spans="1:8" x14ac:dyDescent="0.25">
      <c r="A282" s="150">
        <v>7</v>
      </c>
      <c r="B282" s="3" t="s">
        <v>5</v>
      </c>
      <c r="C282" s="56">
        <v>2</v>
      </c>
      <c r="D282" s="5">
        <v>30</v>
      </c>
      <c r="E282" s="11">
        <v>200</v>
      </c>
      <c r="F282" s="4"/>
      <c r="G282" s="151">
        <f t="shared" si="13"/>
        <v>0</v>
      </c>
    </row>
    <row r="283" spans="1:8" x14ac:dyDescent="0.25">
      <c r="A283" s="150">
        <v>8</v>
      </c>
      <c r="B283" s="3" t="s">
        <v>342</v>
      </c>
      <c r="C283" s="56">
        <v>2</v>
      </c>
      <c r="D283" s="5">
        <v>20</v>
      </c>
      <c r="E283" s="11">
        <v>100</v>
      </c>
      <c r="F283" s="4"/>
      <c r="G283" s="151">
        <f t="shared" si="13"/>
        <v>0</v>
      </c>
    </row>
    <row r="284" spans="1:8" x14ac:dyDescent="0.25">
      <c r="A284" s="150">
        <v>9</v>
      </c>
      <c r="B284" s="3" t="s">
        <v>343</v>
      </c>
      <c r="C284" s="123">
        <v>2</v>
      </c>
      <c r="D284" s="5">
        <v>100</v>
      </c>
      <c r="E284" s="11">
        <v>350</v>
      </c>
      <c r="F284" s="4"/>
      <c r="G284" s="151">
        <f t="shared" si="13"/>
        <v>0</v>
      </c>
    </row>
    <row r="285" spans="1:8" x14ac:dyDescent="0.25">
      <c r="A285" s="150">
        <v>10</v>
      </c>
      <c r="B285" s="3" t="s">
        <v>46</v>
      </c>
      <c r="C285" s="123">
        <v>2</v>
      </c>
      <c r="D285" s="5">
        <v>50</v>
      </c>
      <c r="E285" s="11">
        <v>100</v>
      </c>
      <c r="F285" s="4"/>
      <c r="G285" s="151">
        <f t="shared" si="13"/>
        <v>0</v>
      </c>
    </row>
    <row r="286" spans="1:8" x14ac:dyDescent="0.25">
      <c r="A286" s="150">
        <v>11</v>
      </c>
      <c r="B286" s="3" t="s">
        <v>344</v>
      </c>
      <c r="C286" s="123">
        <v>2</v>
      </c>
      <c r="D286" s="5">
        <v>20</v>
      </c>
      <c r="E286" s="12">
        <v>70</v>
      </c>
      <c r="F286" s="4"/>
      <c r="G286" s="151">
        <f t="shared" si="13"/>
        <v>0</v>
      </c>
    </row>
    <row r="287" spans="1:8" x14ac:dyDescent="0.25">
      <c r="A287" s="150">
        <v>12</v>
      </c>
      <c r="B287" s="3" t="s">
        <v>345</v>
      </c>
      <c r="C287" s="123">
        <v>2</v>
      </c>
      <c r="D287" s="5">
        <v>20</v>
      </c>
      <c r="E287" s="11">
        <v>70</v>
      </c>
      <c r="F287" s="4"/>
      <c r="G287" s="151">
        <f t="shared" si="13"/>
        <v>0</v>
      </c>
    </row>
    <row r="288" spans="1:8" x14ac:dyDescent="0.25">
      <c r="A288" s="150">
        <v>13</v>
      </c>
      <c r="B288" s="3" t="s">
        <v>346</v>
      </c>
      <c r="C288" s="123">
        <v>2</v>
      </c>
      <c r="D288" s="5">
        <v>20</v>
      </c>
      <c r="E288" s="11">
        <v>70</v>
      </c>
      <c r="F288" s="4"/>
      <c r="G288" s="151">
        <f t="shared" si="13"/>
        <v>0</v>
      </c>
    </row>
    <row r="289" spans="1:7" x14ac:dyDescent="0.25">
      <c r="A289" s="150">
        <v>14</v>
      </c>
      <c r="B289" s="3" t="s">
        <v>347</v>
      </c>
      <c r="C289" s="123">
        <v>4</v>
      </c>
      <c r="D289" s="5">
        <v>50</v>
      </c>
      <c r="E289" s="11">
        <v>300</v>
      </c>
      <c r="F289" s="4"/>
      <c r="G289" s="151">
        <f t="shared" si="13"/>
        <v>0</v>
      </c>
    </row>
    <row r="290" spans="1:7" x14ac:dyDescent="0.25">
      <c r="A290" s="150">
        <v>15</v>
      </c>
      <c r="B290" s="3" t="s">
        <v>348</v>
      </c>
      <c r="C290" s="123">
        <v>4</v>
      </c>
      <c r="D290" s="5">
        <v>100</v>
      </c>
      <c r="E290" s="11">
        <v>600</v>
      </c>
      <c r="F290" s="4"/>
      <c r="G290" s="151">
        <f t="shared" si="13"/>
        <v>0</v>
      </c>
    </row>
    <row r="291" spans="1:7" x14ac:dyDescent="0.25">
      <c r="A291" s="150">
        <v>16</v>
      </c>
      <c r="B291" s="3" t="s">
        <v>349</v>
      </c>
      <c r="C291" s="56">
        <v>2</v>
      </c>
      <c r="D291" s="5">
        <v>100</v>
      </c>
      <c r="E291" s="11">
        <v>600</v>
      </c>
      <c r="F291" s="4"/>
      <c r="G291" s="151">
        <f t="shared" si="13"/>
        <v>0</v>
      </c>
    </row>
    <row r="292" spans="1:7" x14ac:dyDescent="0.25">
      <c r="A292" s="150">
        <v>17</v>
      </c>
      <c r="B292" s="3" t="s">
        <v>350</v>
      </c>
      <c r="C292" s="56">
        <v>1</v>
      </c>
      <c r="D292" s="5">
        <v>1000</v>
      </c>
      <c r="E292" s="11">
        <v>11200</v>
      </c>
      <c r="F292" s="4"/>
      <c r="G292" s="151">
        <f t="shared" si="13"/>
        <v>0</v>
      </c>
    </row>
    <row r="293" spans="1:7" ht="25.5" x14ac:dyDescent="0.25">
      <c r="A293" s="150">
        <v>18</v>
      </c>
      <c r="B293" s="3" t="s">
        <v>351</v>
      </c>
      <c r="C293" s="4">
        <v>4</v>
      </c>
      <c r="D293" s="5">
        <v>1000</v>
      </c>
      <c r="E293" s="11">
        <v>9000</v>
      </c>
      <c r="F293" s="4"/>
      <c r="G293" s="151">
        <f t="shared" si="13"/>
        <v>0</v>
      </c>
    </row>
    <row r="294" spans="1:7" x14ac:dyDescent="0.25">
      <c r="A294" s="150">
        <v>19</v>
      </c>
      <c r="B294" s="3" t="s">
        <v>352</v>
      </c>
      <c r="C294" s="56">
        <v>1</v>
      </c>
      <c r="D294" s="5">
        <v>500</v>
      </c>
      <c r="E294" s="11">
        <v>1800</v>
      </c>
      <c r="F294" s="4"/>
      <c r="G294" s="151">
        <f t="shared" si="13"/>
        <v>0</v>
      </c>
    </row>
    <row r="295" spans="1:7" x14ac:dyDescent="0.25">
      <c r="A295" s="150">
        <v>20</v>
      </c>
      <c r="B295" s="3" t="s">
        <v>353</v>
      </c>
      <c r="C295" s="4">
        <v>1</v>
      </c>
      <c r="D295" s="5">
        <v>100</v>
      </c>
      <c r="E295" s="11">
        <v>300</v>
      </c>
      <c r="F295" s="4"/>
      <c r="G295" s="151">
        <f t="shared" si="13"/>
        <v>0</v>
      </c>
    </row>
    <row r="296" spans="1:7" x14ac:dyDescent="0.25">
      <c r="A296" s="150">
        <v>21</v>
      </c>
      <c r="B296" s="3" t="s">
        <v>354</v>
      </c>
      <c r="C296" s="4">
        <v>1</v>
      </c>
      <c r="D296" s="5">
        <v>100</v>
      </c>
      <c r="E296" s="11">
        <v>600</v>
      </c>
      <c r="F296" s="4"/>
      <c r="G296" s="151">
        <f t="shared" si="13"/>
        <v>0</v>
      </c>
    </row>
    <row r="297" spans="1:7" x14ac:dyDescent="0.25">
      <c r="A297" s="150">
        <v>22</v>
      </c>
      <c r="B297" s="3" t="s">
        <v>48</v>
      </c>
      <c r="C297" s="4">
        <v>4</v>
      </c>
      <c r="D297" s="5">
        <v>50</v>
      </c>
      <c r="E297" s="11">
        <v>250</v>
      </c>
      <c r="F297" s="4"/>
      <c r="G297" s="151">
        <f t="shared" si="13"/>
        <v>0</v>
      </c>
    </row>
    <row r="298" spans="1:7" ht="25.5" x14ac:dyDescent="0.25">
      <c r="A298" s="150">
        <v>23</v>
      </c>
      <c r="B298" s="3" t="s">
        <v>49</v>
      </c>
      <c r="C298" s="4">
        <v>8</v>
      </c>
      <c r="D298" s="5">
        <v>100</v>
      </c>
      <c r="E298" s="11">
        <v>270</v>
      </c>
      <c r="F298" s="4"/>
      <c r="G298" s="151">
        <f t="shared" si="13"/>
        <v>0</v>
      </c>
    </row>
    <row r="299" spans="1:7" ht="25.5" x14ac:dyDescent="0.25">
      <c r="A299" s="150">
        <v>24</v>
      </c>
      <c r="B299" s="3" t="s">
        <v>355</v>
      </c>
      <c r="C299" s="4">
        <v>20</v>
      </c>
      <c r="D299" s="5">
        <v>100</v>
      </c>
      <c r="E299" s="11">
        <v>340</v>
      </c>
      <c r="F299" s="4"/>
      <c r="G299" s="151">
        <f t="shared" si="13"/>
        <v>0</v>
      </c>
    </row>
    <row r="300" spans="1:7" ht="25.5" x14ac:dyDescent="0.25">
      <c r="A300" s="150">
        <v>25</v>
      </c>
      <c r="B300" s="3" t="s">
        <v>356</v>
      </c>
      <c r="C300" s="4">
        <v>4</v>
      </c>
      <c r="D300" s="5">
        <v>100</v>
      </c>
      <c r="E300" s="11">
        <v>390</v>
      </c>
      <c r="F300" s="4"/>
      <c r="G300" s="151">
        <f t="shared" si="13"/>
        <v>0</v>
      </c>
    </row>
    <row r="301" spans="1:7" x14ac:dyDescent="0.25">
      <c r="A301" s="150">
        <v>26</v>
      </c>
      <c r="B301" s="3" t="s">
        <v>50</v>
      </c>
      <c r="C301" s="4">
        <v>20</v>
      </c>
      <c r="D301" s="5">
        <v>50</v>
      </c>
      <c r="E301" s="11">
        <v>150</v>
      </c>
      <c r="F301" s="4"/>
      <c r="G301" s="151">
        <f t="shared" si="13"/>
        <v>0</v>
      </c>
    </row>
    <row r="302" spans="1:7" ht="25.5" x14ac:dyDescent="0.25">
      <c r="A302" s="150">
        <v>27</v>
      </c>
      <c r="B302" s="3" t="s">
        <v>51</v>
      </c>
      <c r="C302" s="4">
        <v>4</v>
      </c>
      <c r="D302" s="5">
        <v>200</v>
      </c>
      <c r="E302" s="11">
        <v>850</v>
      </c>
      <c r="F302" s="4"/>
      <c r="G302" s="151">
        <f>SUM(D302*F302)</f>
        <v>0</v>
      </c>
    </row>
    <row r="303" spans="1:7" x14ac:dyDescent="0.25">
      <c r="A303" s="150">
        <v>28</v>
      </c>
      <c r="B303" s="3" t="s">
        <v>357</v>
      </c>
      <c r="C303" s="4">
        <v>5</v>
      </c>
      <c r="D303" s="5">
        <v>50</v>
      </c>
      <c r="E303" s="11">
        <v>170</v>
      </c>
      <c r="F303" s="4"/>
      <c r="G303" s="151">
        <f t="shared" ref="G303" si="14">SUM(D303*F303)</f>
        <v>0</v>
      </c>
    </row>
    <row r="304" spans="1:7" ht="25.5" x14ac:dyDescent="0.25">
      <c r="A304" s="150">
        <v>29</v>
      </c>
      <c r="B304" s="3" t="s">
        <v>358</v>
      </c>
      <c r="C304" s="4">
        <v>5</v>
      </c>
      <c r="D304" s="5">
        <v>200</v>
      </c>
      <c r="E304" s="11">
        <v>760</v>
      </c>
      <c r="F304" s="4"/>
      <c r="G304" s="151">
        <f>SUM(D304*F304)</f>
        <v>0</v>
      </c>
    </row>
    <row r="305" spans="1:7" ht="25.5" x14ac:dyDescent="0.25">
      <c r="A305" s="150">
        <v>30</v>
      </c>
      <c r="B305" s="3" t="s">
        <v>359</v>
      </c>
      <c r="C305" s="4">
        <v>5</v>
      </c>
      <c r="D305" s="5">
        <v>200</v>
      </c>
      <c r="E305" s="11">
        <v>800</v>
      </c>
      <c r="F305" s="4"/>
      <c r="G305" s="151">
        <f t="shared" si="13"/>
        <v>0</v>
      </c>
    </row>
    <row r="306" spans="1:7" x14ac:dyDescent="0.25">
      <c r="A306" s="150">
        <v>31</v>
      </c>
      <c r="B306" s="55" t="s">
        <v>360</v>
      </c>
      <c r="C306" s="4">
        <v>1</v>
      </c>
      <c r="D306" s="5">
        <v>200</v>
      </c>
      <c r="E306" s="11">
        <v>1300</v>
      </c>
      <c r="F306" s="4"/>
      <c r="G306" s="151">
        <f t="shared" si="13"/>
        <v>0</v>
      </c>
    </row>
    <row r="307" spans="1:7" x14ac:dyDescent="0.25">
      <c r="A307" s="150">
        <v>32</v>
      </c>
      <c r="B307" s="55" t="s">
        <v>361</v>
      </c>
      <c r="C307" s="4">
        <v>1</v>
      </c>
      <c r="D307" s="13">
        <v>200</v>
      </c>
      <c r="E307" s="11">
        <v>2200</v>
      </c>
      <c r="F307" s="4"/>
      <c r="G307" s="151">
        <f t="shared" si="13"/>
        <v>0</v>
      </c>
    </row>
    <row r="308" spans="1:7" x14ac:dyDescent="0.25">
      <c r="A308" s="150">
        <v>33</v>
      </c>
      <c r="B308" s="3" t="s">
        <v>362</v>
      </c>
      <c r="C308" s="4">
        <v>1</v>
      </c>
      <c r="D308" s="5">
        <v>200</v>
      </c>
      <c r="E308" s="11">
        <v>930</v>
      </c>
      <c r="F308" s="4"/>
      <c r="G308" s="151">
        <f t="shared" si="13"/>
        <v>0</v>
      </c>
    </row>
    <row r="309" spans="1:7" x14ac:dyDescent="0.25">
      <c r="A309" s="150">
        <v>34</v>
      </c>
      <c r="B309" s="3" t="s">
        <v>363</v>
      </c>
      <c r="C309" s="4">
        <v>1</v>
      </c>
      <c r="D309" s="5">
        <v>200</v>
      </c>
      <c r="E309" s="11">
        <v>830</v>
      </c>
      <c r="F309" s="4"/>
      <c r="G309" s="151">
        <f t="shared" si="13"/>
        <v>0</v>
      </c>
    </row>
    <row r="310" spans="1:7" x14ac:dyDescent="0.25">
      <c r="A310" s="150">
        <v>35</v>
      </c>
      <c r="B310" s="3" t="s">
        <v>364</v>
      </c>
      <c r="C310" s="4">
        <v>5</v>
      </c>
      <c r="D310" s="5">
        <v>100</v>
      </c>
      <c r="E310" s="11">
        <v>435</v>
      </c>
      <c r="F310" s="4"/>
      <c r="G310" s="151">
        <f t="shared" si="13"/>
        <v>0</v>
      </c>
    </row>
    <row r="311" spans="1:7" x14ac:dyDescent="0.25">
      <c r="A311" s="150">
        <v>36</v>
      </c>
      <c r="B311" s="3" t="s">
        <v>365</v>
      </c>
      <c r="C311" s="4">
        <v>9</v>
      </c>
      <c r="D311" s="13">
        <v>50</v>
      </c>
      <c r="E311" s="11">
        <v>290</v>
      </c>
      <c r="F311" s="4"/>
      <c r="G311" s="151">
        <f t="shared" si="13"/>
        <v>0</v>
      </c>
    </row>
    <row r="312" spans="1:7" x14ac:dyDescent="0.25">
      <c r="A312" s="150">
        <v>37</v>
      </c>
      <c r="B312" s="3" t="s">
        <v>366</v>
      </c>
      <c r="C312" s="4">
        <v>19</v>
      </c>
      <c r="D312" s="5">
        <v>50</v>
      </c>
      <c r="E312" s="11">
        <v>245</v>
      </c>
      <c r="F312" s="4"/>
      <c r="G312" s="151">
        <f t="shared" si="13"/>
        <v>0</v>
      </c>
    </row>
    <row r="313" spans="1:7" x14ac:dyDescent="0.25">
      <c r="A313" s="150">
        <v>38</v>
      </c>
      <c r="B313" s="3" t="s">
        <v>367</v>
      </c>
      <c r="C313" s="4">
        <v>10</v>
      </c>
      <c r="D313" s="5">
        <v>40</v>
      </c>
      <c r="E313" s="11">
        <v>215</v>
      </c>
      <c r="F313" s="4"/>
      <c r="G313" s="151">
        <f t="shared" si="13"/>
        <v>0</v>
      </c>
    </row>
    <row r="314" spans="1:7" x14ac:dyDescent="0.25">
      <c r="A314" s="150">
        <v>39</v>
      </c>
      <c r="B314" s="3" t="s">
        <v>368</v>
      </c>
      <c r="C314" s="4">
        <v>4</v>
      </c>
      <c r="D314" s="5">
        <v>30</v>
      </c>
      <c r="E314" s="11">
        <v>190</v>
      </c>
      <c r="F314" s="4"/>
      <c r="G314" s="151">
        <f t="shared" si="13"/>
        <v>0</v>
      </c>
    </row>
    <row r="315" spans="1:7" x14ac:dyDescent="0.25">
      <c r="A315" s="150">
        <v>40</v>
      </c>
      <c r="B315" s="3" t="s">
        <v>369</v>
      </c>
      <c r="C315" s="4">
        <v>14</v>
      </c>
      <c r="D315" s="5">
        <v>30</v>
      </c>
      <c r="E315" s="11">
        <v>125</v>
      </c>
      <c r="F315" s="4"/>
      <c r="G315" s="151">
        <f t="shared" si="13"/>
        <v>0</v>
      </c>
    </row>
    <row r="316" spans="1:7" x14ac:dyDescent="0.25">
      <c r="A316" s="150">
        <v>41</v>
      </c>
      <c r="B316" s="3" t="s">
        <v>370</v>
      </c>
      <c r="C316" s="4">
        <v>3</v>
      </c>
      <c r="D316" s="5">
        <v>20</v>
      </c>
      <c r="E316" s="11">
        <v>120</v>
      </c>
      <c r="F316" s="4"/>
      <c r="G316" s="151">
        <f t="shared" si="13"/>
        <v>0</v>
      </c>
    </row>
    <row r="317" spans="1:7" x14ac:dyDescent="0.25">
      <c r="A317" s="150">
        <v>42</v>
      </c>
      <c r="B317" s="3" t="s">
        <v>371</v>
      </c>
      <c r="C317" s="4">
        <v>1</v>
      </c>
      <c r="D317" s="5">
        <v>20</v>
      </c>
      <c r="E317" s="11">
        <v>110</v>
      </c>
      <c r="F317" s="4"/>
      <c r="G317" s="151">
        <f t="shared" si="13"/>
        <v>0</v>
      </c>
    </row>
    <row r="318" spans="1:7" x14ac:dyDescent="0.25">
      <c r="A318" s="150">
        <v>43</v>
      </c>
      <c r="B318" s="55" t="s">
        <v>372</v>
      </c>
      <c r="C318" s="4">
        <v>2</v>
      </c>
      <c r="D318" s="5">
        <v>20</v>
      </c>
      <c r="E318" s="11">
        <v>80</v>
      </c>
      <c r="F318" s="4"/>
      <c r="G318" s="151">
        <f t="shared" si="13"/>
        <v>0</v>
      </c>
    </row>
    <row r="319" spans="1:7" x14ac:dyDescent="0.25">
      <c r="A319" s="150">
        <v>44</v>
      </c>
      <c r="B319" s="55" t="s">
        <v>373</v>
      </c>
      <c r="C319" s="4">
        <v>2</v>
      </c>
      <c r="D319" s="13">
        <v>15</v>
      </c>
      <c r="E319" s="11">
        <v>48</v>
      </c>
      <c r="F319" s="4"/>
      <c r="G319" s="151">
        <f t="shared" si="13"/>
        <v>0</v>
      </c>
    </row>
    <row r="320" spans="1:7" x14ac:dyDescent="0.25">
      <c r="A320" s="150">
        <v>45</v>
      </c>
      <c r="B320" s="55" t="s">
        <v>374</v>
      </c>
      <c r="C320" s="4">
        <v>8</v>
      </c>
      <c r="D320" s="13">
        <v>15</v>
      </c>
      <c r="E320" s="11">
        <v>56</v>
      </c>
      <c r="F320" s="4"/>
      <c r="G320" s="151">
        <f t="shared" si="13"/>
        <v>0</v>
      </c>
    </row>
    <row r="321" spans="1:10" x14ac:dyDescent="0.25">
      <c r="A321" s="150">
        <v>46</v>
      </c>
      <c r="B321" s="55" t="s">
        <v>375</v>
      </c>
      <c r="C321" s="4">
        <v>2</v>
      </c>
      <c r="D321" s="5">
        <v>15</v>
      </c>
      <c r="E321" s="11">
        <v>36</v>
      </c>
      <c r="F321" s="4"/>
      <c r="G321" s="151">
        <f t="shared" si="13"/>
        <v>0</v>
      </c>
    </row>
    <row r="322" spans="1:10" x14ac:dyDescent="0.25">
      <c r="A322" s="150">
        <v>47</v>
      </c>
      <c r="B322" s="55" t="s">
        <v>376</v>
      </c>
      <c r="C322" s="4">
        <v>1</v>
      </c>
      <c r="D322" s="13">
        <v>15</v>
      </c>
      <c r="E322" s="11">
        <v>34</v>
      </c>
      <c r="F322" s="4"/>
      <c r="G322" s="151">
        <f t="shared" si="13"/>
        <v>0</v>
      </c>
    </row>
    <row r="323" spans="1:10" x14ac:dyDescent="0.25">
      <c r="A323" s="150">
        <v>48</v>
      </c>
      <c r="B323" s="55" t="s">
        <v>377</v>
      </c>
      <c r="C323" s="4">
        <v>4</v>
      </c>
      <c r="D323" s="5">
        <v>15</v>
      </c>
      <c r="E323" s="11">
        <v>12</v>
      </c>
      <c r="F323" s="4"/>
      <c r="G323" s="151">
        <f t="shared" si="13"/>
        <v>0</v>
      </c>
    </row>
    <row r="324" spans="1:10" ht="15.75" thickBot="1" x14ac:dyDescent="0.3">
      <c r="A324" s="150">
        <v>49</v>
      </c>
      <c r="B324" s="55" t="s">
        <v>378</v>
      </c>
      <c r="C324" s="4">
        <v>4</v>
      </c>
      <c r="D324" s="5">
        <v>200</v>
      </c>
      <c r="E324" s="11">
        <v>480</v>
      </c>
      <c r="F324" s="4"/>
      <c r="G324" s="151">
        <f t="shared" si="13"/>
        <v>0</v>
      </c>
    </row>
    <row r="325" spans="1:10" ht="16.5" thickBot="1" x14ac:dyDescent="0.3">
      <c r="A325" s="203"/>
      <c r="B325" s="204"/>
      <c r="C325" s="204"/>
      <c r="D325" s="204"/>
      <c r="E325" s="204"/>
      <c r="F325" s="204"/>
      <c r="G325" s="205"/>
    </row>
    <row r="326" spans="1:10" x14ac:dyDescent="0.25">
      <c r="B326" s="52"/>
      <c r="C326" s="52"/>
      <c r="D326" s="52"/>
      <c r="E326" s="52"/>
      <c r="F326" s="52"/>
      <c r="G326" s="52"/>
    </row>
    <row r="327" spans="1:10" ht="21" x14ac:dyDescent="0.25">
      <c r="B327" s="28"/>
      <c r="C327" s="53"/>
      <c r="E327" s="16" t="s">
        <v>379</v>
      </c>
      <c r="F327" s="38">
        <v>1</v>
      </c>
      <c r="G327" s="17">
        <f>SUM(H3:H325)</f>
        <v>2120</v>
      </c>
    </row>
    <row r="328" spans="1:10" x14ac:dyDescent="0.25">
      <c r="E328" s="16"/>
      <c r="F328" s="38"/>
      <c r="G328" s="17"/>
    </row>
    <row r="329" spans="1:10" x14ac:dyDescent="0.25">
      <c r="E329" s="29" t="s">
        <v>432</v>
      </c>
      <c r="F329" s="38"/>
      <c r="G329" s="30">
        <f>G327*35%</f>
        <v>742</v>
      </c>
    </row>
    <row r="330" spans="1:10" x14ac:dyDescent="0.25">
      <c r="A330" s="1"/>
      <c r="D330" s="1"/>
      <c r="E330" s="29"/>
      <c r="F330" s="1"/>
      <c r="G330" s="30"/>
    </row>
    <row r="331" spans="1:10" x14ac:dyDescent="0.25">
      <c r="A331" s="1"/>
      <c r="D331" s="206" t="s">
        <v>431</v>
      </c>
      <c r="E331" s="207"/>
      <c r="F331" s="38"/>
      <c r="G331" s="17">
        <f>G327-G329</f>
        <v>1378</v>
      </c>
    </row>
    <row r="332" spans="1:10" ht="15.75" thickBot="1" x14ac:dyDescent="0.3">
      <c r="G332" s="17"/>
    </row>
    <row r="333" spans="1:10" ht="21.75" thickBot="1" x14ac:dyDescent="0.3">
      <c r="B333" s="208" t="s">
        <v>380</v>
      </c>
      <c r="C333" s="209"/>
      <c r="D333" s="209"/>
      <c r="E333" s="209"/>
      <c r="F333" s="209"/>
      <c r="G333" s="210"/>
    </row>
    <row r="334" spans="1:10" ht="15.75" thickBot="1" x14ac:dyDescent="0.3">
      <c r="B334" s="124" t="s">
        <v>91</v>
      </c>
      <c r="C334" s="125" t="s">
        <v>32</v>
      </c>
      <c r="D334" s="125" t="s">
        <v>381</v>
      </c>
      <c r="E334" s="126" t="s">
        <v>34</v>
      </c>
      <c r="F334" s="127" t="s">
        <v>33</v>
      </c>
      <c r="G334" s="128" t="s">
        <v>36</v>
      </c>
      <c r="H334" s="129"/>
      <c r="I334" s="129"/>
      <c r="J334" s="129"/>
    </row>
    <row r="335" spans="1:10" x14ac:dyDescent="0.25">
      <c r="B335" s="130" t="s">
        <v>29</v>
      </c>
      <c r="C335" s="131" t="s">
        <v>6</v>
      </c>
      <c r="D335" s="132">
        <v>100</v>
      </c>
      <c r="E335" s="133">
        <v>85</v>
      </c>
      <c r="F335" s="131"/>
      <c r="G335" s="134">
        <f>F335*E335</f>
        <v>0</v>
      </c>
    </row>
    <row r="336" spans="1:10" x14ac:dyDescent="0.25">
      <c r="B336" s="135" t="s">
        <v>382</v>
      </c>
      <c r="C336" s="54" t="s">
        <v>7</v>
      </c>
      <c r="D336" s="136">
        <v>100</v>
      </c>
      <c r="E336" s="137">
        <v>680</v>
      </c>
      <c r="F336" s="54"/>
      <c r="G336" s="138">
        <f t="shared" ref="G336:G347" si="15">F336*E336</f>
        <v>0</v>
      </c>
    </row>
    <row r="337" spans="1:7" x14ac:dyDescent="0.25">
      <c r="B337" s="135" t="s">
        <v>382</v>
      </c>
      <c r="C337" s="54" t="s">
        <v>8</v>
      </c>
      <c r="D337" s="136">
        <v>100</v>
      </c>
      <c r="E337" s="137">
        <v>580</v>
      </c>
      <c r="F337" s="54"/>
      <c r="G337" s="138">
        <f t="shared" si="15"/>
        <v>0</v>
      </c>
    </row>
    <row r="338" spans="1:7" x14ac:dyDescent="0.25">
      <c r="A338" s="1"/>
      <c r="B338" s="135" t="s">
        <v>383</v>
      </c>
      <c r="C338" s="54" t="s">
        <v>11</v>
      </c>
      <c r="D338" s="136">
        <v>100</v>
      </c>
      <c r="E338" s="137">
        <v>35</v>
      </c>
      <c r="F338" s="54"/>
      <c r="G338" s="138">
        <f t="shared" si="15"/>
        <v>0</v>
      </c>
    </row>
    <row r="339" spans="1:7" x14ac:dyDescent="0.25">
      <c r="B339" s="135" t="s">
        <v>384</v>
      </c>
      <c r="C339" s="54" t="s">
        <v>9</v>
      </c>
      <c r="D339" s="136">
        <v>100</v>
      </c>
      <c r="E339" s="137">
        <v>130</v>
      </c>
      <c r="F339" s="54"/>
      <c r="G339" s="138">
        <f t="shared" si="15"/>
        <v>0</v>
      </c>
    </row>
    <row r="340" spans="1:7" x14ac:dyDescent="0.25">
      <c r="B340" s="135" t="s">
        <v>385</v>
      </c>
      <c r="C340" s="4"/>
      <c r="D340" s="136">
        <v>100</v>
      </c>
      <c r="E340" s="137">
        <v>120</v>
      </c>
      <c r="F340" s="54"/>
      <c r="G340" s="138">
        <f>F340*E340</f>
        <v>0</v>
      </c>
    </row>
    <row r="341" spans="1:7" x14ac:dyDescent="0.25">
      <c r="B341" s="135" t="s">
        <v>386</v>
      </c>
      <c r="C341" s="4"/>
      <c r="D341" s="136">
        <v>100</v>
      </c>
      <c r="E341" s="137">
        <v>120</v>
      </c>
      <c r="F341" s="54"/>
      <c r="G341" s="138">
        <f t="shared" si="15"/>
        <v>0</v>
      </c>
    </row>
    <row r="342" spans="1:7" x14ac:dyDescent="0.25">
      <c r="B342" s="135" t="s">
        <v>387</v>
      </c>
      <c r="C342" s="4"/>
      <c r="D342" s="136">
        <v>100</v>
      </c>
      <c r="E342" s="137">
        <v>120</v>
      </c>
      <c r="F342" s="54"/>
      <c r="G342" s="138">
        <f t="shared" si="15"/>
        <v>0</v>
      </c>
    </row>
    <row r="343" spans="1:7" x14ac:dyDescent="0.25">
      <c r="B343" s="135" t="s">
        <v>30</v>
      </c>
      <c r="C343" s="54" t="s">
        <v>10</v>
      </c>
      <c r="D343" s="139">
        <v>100</v>
      </c>
      <c r="E343" s="137">
        <v>455</v>
      </c>
      <c r="F343" s="54"/>
      <c r="G343" s="138">
        <f t="shared" si="15"/>
        <v>0</v>
      </c>
    </row>
    <row r="344" spans="1:7" x14ac:dyDescent="0.25">
      <c r="A344" s="1"/>
      <c r="B344" s="135" t="s">
        <v>388</v>
      </c>
      <c r="C344" s="54" t="s">
        <v>12</v>
      </c>
      <c r="D344" s="136">
        <v>100</v>
      </c>
      <c r="E344" s="137">
        <v>250</v>
      </c>
      <c r="F344" s="54"/>
      <c r="G344" s="138">
        <f t="shared" si="15"/>
        <v>0</v>
      </c>
    </row>
    <row r="345" spans="1:7" x14ac:dyDescent="0.25">
      <c r="A345" s="1"/>
      <c r="B345" s="135" t="s">
        <v>389</v>
      </c>
      <c r="C345" s="54" t="s">
        <v>13</v>
      </c>
      <c r="D345" s="136">
        <v>100</v>
      </c>
      <c r="E345" s="137">
        <v>400</v>
      </c>
      <c r="F345" s="54"/>
      <c r="G345" s="138">
        <f t="shared" si="15"/>
        <v>0</v>
      </c>
    </row>
    <row r="346" spans="1:7" x14ac:dyDescent="0.25">
      <c r="A346" s="1"/>
      <c r="B346" s="135" t="s">
        <v>14</v>
      </c>
      <c r="C346" s="54" t="s">
        <v>15</v>
      </c>
      <c r="D346" s="136">
        <v>100</v>
      </c>
      <c r="E346" s="137">
        <v>250</v>
      </c>
      <c r="F346" s="54"/>
      <c r="G346" s="138">
        <f t="shared" si="15"/>
        <v>0</v>
      </c>
    </row>
    <row r="347" spans="1:7" ht="15.75" thickBot="1" x14ac:dyDescent="0.3">
      <c r="A347" s="1"/>
      <c r="B347" s="140" t="s">
        <v>31</v>
      </c>
      <c r="C347" s="141"/>
      <c r="D347" s="142">
        <v>100</v>
      </c>
      <c r="E347" s="143">
        <v>170</v>
      </c>
      <c r="F347" s="144"/>
      <c r="G347" s="145">
        <f t="shared" si="15"/>
        <v>0</v>
      </c>
    </row>
    <row r="348" spans="1:7" x14ac:dyDescent="0.25">
      <c r="A348" s="1"/>
      <c r="G348" s="2"/>
    </row>
    <row r="349" spans="1:7" x14ac:dyDescent="0.25">
      <c r="A349" s="1"/>
      <c r="E349" s="211" t="s">
        <v>90</v>
      </c>
      <c r="F349" s="212"/>
      <c r="G349" s="17">
        <f>SUM(G335:G347)</f>
        <v>0</v>
      </c>
    </row>
    <row r="350" spans="1:7" x14ac:dyDescent="0.25">
      <c r="A350" s="1"/>
      <c r="G350" s="2"/>
    </row>
    <row r="351" spans="1:7" ht="21" x14ac:dyDescent="0.25">
      <c r="B351" s="28"/>
      <c r="C351" s="53"/>
      <c r="E351" s="16"/>
      <c r="F351" s="38"/>
      <c r="G351" s="17"/>
    </row>
    <row r="352" spans="1:7" x14ac:dyDescent="0.25">
      <c r="F352" s="1"/>
    </row>
    <row r="353" spans="1:7" x14ac:dyDescent="0.25">
      <c r="E353" s="29"/>
      <c r="F353" s="38"/>
      <c r="G353" s="30"/>
    </row>
    <row r="354" spans="1:7" x14ac:dyDescent="0.25">
      <c r="A354" s="1"/>
      <c r="D354" s="1"/>
      <c r="E354" s="29"/>
      <c r="F354" s="1"/>
      <c r="G354" s="30"/>
    </row>
    <row r="355" spans="1:7" x14ac:dyDescent="0.25">
      <c r="A355" s="1"/>
      <c r="D355" s="1"/>
      <c r="E355" s="29"/>
      <c r="F355" s="38"/>
      <c r="G355" s="30"/>
    </row>
  </sheetData>
  <autoFilter ref="A2:H324" xr:uid="{00000000-0009-0000-0000-000001000000}"/>
  <mergeCells count="6">
    <mergeCell ref="A325:G325"/>
    <mergeCell ref="D331:E331"/>
    <mergeCell ref="B333:G333"/>
    <mergeCell ref="E349:F349"/>
    <mergeCell ref="E1:G1"/>
    <mergeCell ref="A1:C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70C0"/>
  </sheetPr>
  <dimension ref="A1:IP33"/>
  <sheetViews>
    <sheetView zoomScaleNormal="100" workbookViewId="0">
      <selection activeCell="D5" sqref="D5"/>
    </sheetView>
  </sheetViews>
  <sheetFormatPr defaultColWidth="8.7109375" defaultRowHeight="15" x14ac:dyDescent="0.25"/>
  <cols>
    <col min="1" max="1" width="59" style="21" bestFit="1" customWidth="1"/>
    <col min="2" max="2" width="21" style="21" bestFit="1" customWidth="1"/>
    <col min="3" max="3" width="17.7109375" style="21" customWidth="1"/>
    <col min="4" max="4" width="18.7109375" style="21" customWidth="1"/>
    <col min="5" max="5" width="12" style="21" customWidth="1"/>
    <col min="6" max="252" width="9.140625" style="21"/>
    <col min="253" max="253" width="31.7109375" style="21" customWidth="1"/>
    <col min="254" max="255" width="0" style="21" hidden="1" customWidth="1"/>
    <col min="256" max="256" width="21.42578125" style="21" customWidth="1"/>
    <col min="257" max="257" width="15.7109375" style="21" customWidth="1"/>
    <col min="258" max="258" width="11.28515625" style="21" customWidth="1"/>
    <col min="259" max="259" width="12.42578125" style="21" customWidth="1"/>
    <col min="260" max="260" width="9.140625" style="21"/>
    <col min="261" max="261" width="12" style="21" customWidth="1"/>
    <col min="262" max="508" width="9.140625" style="21"/>
    <col min="509" max="509" width="31.7109375" style="21" customWidth="1"/>
    <col min="510" max="511" width="0" style="21" hidden="1" customWidth="1"/>
    <col min="512" max="512" width="21.42578125" style="21" customWidth="1"/>
    <col min="513" max="513" width="15.7109375" style="21" customWidth="1"/>
    <col min="514" max="514" width="11.28515625" style="21" customWidth="1"/>
    <col min="515" max="515" width="12.42578125" style="21" customWidth="1"/>
    <col min="516" max="516" width="9.140625" style="21"/>
    <col min="517" max="517" width="12" style="21" customWidth="1"/>
    <col min="518" max="764" width="9.140625" style="21"/>
    <col min="765" max="765" width="31.7109375" style="21" customWidth="1"/>
    <col min="766" max="767" width="0" style="21" hidden="1" customWidth="1"/>
    <col min="768" max="768" width="21.42578125" style="21" customWidth="1"/>
    <col min="769" max="769" width="15.7109375" style="21" customWidth="1"/>
    <col min="770" max="770" width="11.28515625" style="21" customWidth="1"/>
    <col min="771" max="771" width="12.42578125" style="21" customWidth="1"/>
    <col min="772" max="772" width="9.140625" style="21"/>
    <col min="773" max="773" width="12" style="21" customWidth="1"/>
    <col min="774" max="1020" width="9.140625" style="21"/>
    <col min="1021" max="1021" width="31.7109375" style="21" customWidth="1"/>
    <col min="1022" max="1023" width="0" style="21" hidden="1" customWidth="1"/>
    <col min="1024" max="1024" width="21.42578125" style="21" customWidth="1"/>
    <col min="1025" max="1025" width="15.7109375" style="21" customWidth="1"/>
    <col min="1026" max="1026" width="11.28515625" style="21" customWidth="1"/>
    <col min="1027" max="1027" width="12.42578125" style="21" customWidth="1"/>
    <col min="1028" max="1028" width="9.140625" style="21"/>
    <col min="1029" max="1029" width="12" style="21" customWidth="1"/>
    <col min="1030" max="1276" width="9.140625" style="21"/>
    <col min="1277" max="1277" width="31.7109375" style="21" customWidth="1"/>
    <col min="1278" max="1279" width="0" style="21" hidden="1" customWidth="1"/>
    <col min="1280" max="1280" width="21.42578125" style="21" customWidth="1"/>
    <col min="1281" max="1281" width="15.7109375" style="21" customWidth="1"/>
    <col min="1282" max="1282" width="11.28515625" style="21" customWidth="1"/>
    <col min="1283" max="1283" width="12.42578125" style="21" customWidth="1"/>
    <col min="1284" max="1284" width="9.140625" style="21"/>
    <col min="1285" max="1285" width="12" style="21" customWidth="1"/>
    <col min="1286" max="1532" width="9.140625" style="21"/>
    <col min="1533" max="1533" width="31.7109375" style="21" customWidth="1"/>
    <col min="1534" max="1535" width="0" style="21" hidden="1" customWidth="1"/>
    <col min="1536" max="1536" width="21.42578125" style="21" customWidth="1"/>
    <col min="1537" max="1537" width="15.7109375" style="21" customWidth="1"/>
    <col min="1538" max="1538" width="11.28515625" style="21" customWidth="1"/>
    <col min="1539" max="1539" width="12.42578125" style="21" customWidth="1"/>
    <col min="1540" max="1540" width="9.140625" style="21"/>
    <col min="1541" max="1541" width="12" style="21" customWidth="1"/>
    <col min="1542" max="1788" width="9.140625" style="21"/>
    <col min="1789" max="1789" width="31.7109375" style="21" customWidth="1"/>
    <col min="1790" max="1791" width="0" style="21" hidden="1" customWidth="1"/>
    <col min="1792" max="1792" width="21.42578125" style="21" customWidth="1"/>
    <col min="1793" max="1793" width="15.7109375" style="21" customWidth="1"/>
    <col min="1794" max="1794" width="11.28515625" style="21" customWidth="1"/>
    <col min="1795" max="1795" width="12.42578125" style="21" customWidth="1"/>
    <col min="1796" max="1796" width="9.140625" style="21"/>
    <col min="1797" max="1797" width="12" style="21" customWidth="1"/>
    <col min="1798" max="2044" width="9.140625" style="21"/>
    <col min="2045" max="2045" width="31.7109375" style="21" customWidth="1"/>
    <col min="2046" max="2047" width="0" style="21" hidden="1" customWidth="1"/>
    <col min="2048" max="2048" width="21.42578125" style="21" customWidth="1"/>
    <col min="2049" max="2049" width="15.7109375" style="21" customWidth="1"/>
    <col min="2050" max="2050" width="11.28515625" style="21" customWidth="1"/>
    <col min="2051" max="2051" width="12.42578125" style="21" customWidth="1"/>
    <col min="2052" max="2052" width="9.140625" style="21"/>
    <col min="2053" max="2053" width="12" style="21" customWidth="1"/>
    <col min="2054" max="2300" width="9.140625" style="21"/>
    <col min="2301" max="2301" width="31.7109375" style="21" customWidth="1"/>
    <col min="2302" max="2303" width="0" style="21" hidden="1" customWidth="1"/>
    <col min="2304" max="2304" width="21.42578125" style="21" customWidth="1"/>
    <col min="2305" max="2305" width="15.7109375" style="21" customWidth="1"/>
    <col min="2306" max="2306" width="11.28515625" style="21" customWidth="1"/>
    <col min="2307" max="2307" width="12.42578125" style="21" customWidth="1"/>
    <col min="2308" max="2308" width="9.140625" style="21"/>
    <col min="2309" max="2309" width="12" style="21" customWidth="1"/>
    <col min="2310" max="2556" width="9.140625" style="21"/>
    <col min="2557" max="2557" width="31.7109375" style="21" customWidth="1"/>
    <col min="2558" max="2559" width="0" style="21" hidden="1" customWidth="1"/>
    <col min="2560" max="2560" width="21.42578125" style="21" customWidth="1"/>
    <col min="2561" max="2561" width="15.7109375" style="21" customWidth="1"/>
    <col min="2562" max="2562" width="11.28515625" style="21" customWidth="1"/>
    <col min="2563" max="2563" width="12.42578125" style="21" customWidth="1"/>
    <col min="2564" max="2564" width="9.140625" style="21"/>
    <col min="2565" max="2565" width="12" style="21" customWidth="1"/>
    <col min="2566" max="2812" width="9.140625" style="21"/>
    <col min="2813" max="2813" width="31.7109375" style="21" customWidth="1"/>
    <col min="2814" max="2815" width="0" style="21" hidden="1" customWidth="1"/>
    <col min="2816" max="2816" width="21.42578125" style="21" customWidth="1"/>
    <col min="2817" max="2817" width="15.7109375" style="21" customWidth="1"/>
    <col min="2818" max="2818" width="11.28515625" style="21" customWidth="1"/>
    <col min="2819" max="2819" width="12.42578125" style="21" customWidth="1"/>
    <col min="2820" max="2820" width="9.140625" style="21"/>
    <col min="2821" max="2821" width="12" style="21" customWidth="1"/>
    <col min="2822" max="3068" width="9.140625" style="21"/>
    <col min="3069" max="3069" width="31.7109375" style="21" customWidth="1"/>
    <col min="3070" max="3071" width="0" style="21" hidden="1" customWidth="1"/>
    <col min="3072" max="3072" width="21.42578125" style="21" customWidth="1"/>
    <col min="3073" max="3073" width="15.7109375" style="21" customWidth="1"/>
    <col min="3074" max="3074" width="11.28515625" style="21" customWidth="1"/>
    <col min="3075" max="3075" width="12.42578125" style="21" customWidth="1"/>
    <col min="3076" max="3076" width="9.140625" style="21"/>
    <col min="3077" max="3077" width="12" style="21" customWidth="1"/>
    <col min="3078" max="3324" width="9.140625" style="21"/>
    <col min="3325" max="3325" width="31.7109375" style="21" customWidth="1"/>
    <col min="3326" max="3327" width="0" style="21" hidden="1" customWidth="1"/>
    <col min="3328" max="3328" width="21.42578125" style="21" customWidth="1"/>
    <col min="3329" max="3329" width="15.7109375" style="21" customWidth="1"/>
    <col min="3330" max="3330" width="11.28515625" style="21" customWidth="1"/>
    <col min="3331" max="3331" width="12.42578125" style="21" customWidth="1"/>
    <col min="3332" max="3332" width="9.140625" style="21"/>
    <col min="3333" max="3333" width="12" style="21" customWidth="1"/>
    <col min="3334" max="3580" width="9.140625" style="21"/>
    <col min="3581" max="3581" width="31.7109375" style="21" customWidth="1"/>
    <col min="3582" max="3583" width="0" style="21" hidden="1" customWidth="1"/>
    <col min="3584" max="3584" width="21.42578125" style="21" customWidth="1"/>
    <col min="3585" max="3585" width="15.7109375" style="21" customWidth="1"/>
    <col min="3586" max="3586" width="11.28515625" style="21" customWidth="1"/>
    <col min="3587" max="3587" width="12.42578125" style="21" customWidth="1"/>
    <col min="3588" max="3588" width="9.140625" style="21"/>
    <col min="3589" max="3589" width="12" style="21" customWidth="1"/>
    <col min="3590" max="3836" width="9.140625" style="21"/>
    <col min="3837" max="3837" width="31.7109375" style="21" customWidth="1"/>
    <col min="3838" max="3839" width="0" style="21" hidden="1" customWidth="1"/>
    <col min="3840" max="3840" width="21.42578125" style="21" customWidth="1"/>
    <col min="3841" max="3841" width="15.7109375" style="21" customWidth="1"/>
    <col min="3842" max="3842" width="11.28515625" style="21" customWidth="1"/>
    <col min="3843" max="3843" width="12.42578125" style="21" customWidth="1"/>
    <col min="3844" max="3844" width="9.140625" style="21"/>
    <col min="3845" max="3845" width="12" style="21" customWidth="1"/>
    <col min="3846" max="4092" width="9.140625" style="21"/>
    <col min="4093" max="4093" width="31.7109375" style="21" customWidth="1"/>
    <col min="4094" max="4095" width="0" style="21" hidden="1" customWidth="1"/>
    <col min="4096" max="4096" width="21.42578125" style="21" customWidth="1"/>
    <col min="4097" max="4097" width="15.7109375" style="21" customWidth="1"/>
    <col min="4098" max="4098" width="11.28515625" style="21" customWidth="1"/>
    <col min="4099" max="4099" width="12.42578125" style="21" customWidth="1"/>
    <col min="4100" max="4100" width="9.140625" style="21"/>
    <col min="4101" max="4101" width="12" style="21" customWidth="1"/>
    <col min="4102" max="4348" width="9.140625" style="21"/>
    <col min="4349" max="4349" width="31.7109375" style="21" customWidth="1"/>
    <col min="4350" max="4351" width="0" style="21" hidden="1" customWidth="1"/>
    <col min="4352" max="4352" width="21.42578125" style="21" customWidth="1"/>
    <col min="4353" max="4353" width="15.7109375" style="21" customWidth="1"/>
    <col min="4354" max="4354" width="11.28515625" style="21" customWidth="1"/>
    <col min="4355" max="4355" width="12.42578125" style="21" customWidth="1"/>
    <col min="4356" max="4356" width="9.140625" style="21"/>
    <col min="4357" max="4357" width="12" style="21" customWidth="1"/>
    <col min="4358" max="4604" width="9.140625" style="21"/>
    <col min="4605" max="4605" width="31.7109375" style="21" customWidth="1"/>
    <col min="4606" max="4607" width="0" style="21" hidden="1" customWidth="1"/>
    <col min="4608" max="4608" width="21.42578125" style="21" customWidth="1"/>
    <col min="4609" max="4609" width="15.7109375" style="21" customWidth="1"/>
    <col min="4610" max="4610" width="11.28515625" style="21" customWidth="1"/>
    <col min="4611" max="4611" width="12.42578125" style="21" customWidth="1"/>
    <col min="4612" max="4612" width="9.140625" style="21"/>
    <col min="4613" max="4613" width="12" style="21" customWidth="1"/>
    <col min="4614" max="4860" width="9.140625" style="21"/>
    <col min="4861" max="4861" width="31.7109375" style="21" customWidth="1"/>
    <col min="4862" max="4863" width="0" style="21" hidden="1" customWidth="1"/>
    <col min="4864" max="4864" width="21.42578125" style="21" customWidth="1"/>
    <col min="4865" max="4865" width="15.7109375" style="21" customWidth="1"/>
    <col min="4866" max="4866" width="11.28515625" style="21" customWidth="1"/>
    <col min="4867" max="4867" width="12.42578125" style="21" customWidth="1"/>
    <col min="4868" max="4868" width="9.140625" style="21"/>
    <col min="4869" max="4869" width="12" style="21" customWidth="1"/>
    <col min="4870" max="5116" width="9.140625" style="21"/>
    <col min="5117" max="5117" width="31.7109375" style="21" customWidth="1"/>
    <col min="5118" max="5119" width="0" style="21" hidden="1" customWidth="1"/>
    <col min="5120" max="5120" width="21.42578125" style="21" customWidth="1"/>
    <col min="5121" max="5121" width="15.7109375" style="21" customWidth="1"/>
    <col min="5122" max="5122" width="11.28515625" style="21" customWidth="1"/>
    <col min="5123" max="5123" width="12.42578125" style="21" customWidth="1"/>
    <col min="5124" max="5124" width="9.140625" style="21"/>
    <col min="5125" max="5125" width="12" style="21" customWidth="1"/>
    <col min="5126" max="5372" width="9.140625" style="21"/>
    <col min="5373" max="5373" width="31.7109375" style="21" customWidth="1"/>
    <col min="5374" max="5375" width="0" style="21" hidden="1" customWidth="1"/>
    <col min="5376" max="5376" width="21.42578125" style="21" customWidth="1"/>
    <col min="5377" max="5377" width="15.7109375" style="21" customWidth="1"/>
    <col min="5378" max="5378" width="11.28515625" style="21" customWidth="1"/>
    <col min="5379" max="5379" width="12.42578125" style="21" customWidth="1"/>
    <col min="5380" max="5380" width="9.140625" style="21"/>
    <col min="5381" max="5381" width="12" style="21" customWidth="1"/>
    <col min="5382" max="5628" width="9.140625" style="21"/>
    <col min="5629" max="5629" width="31.7109375" style="21" customWidth="1"/>
    <col min="5630" max="5631" width="0" style="21" hidden="1" customWidth="1"/>
    <col min="5632" max="5632" width="21.42578125" style="21" customWidth="1"/>
    <col min="5633" max="5633" width="15.7109375" style="21" customWidth="1"/>
    <col min="5634" max="5634" width="11.28515625" style="21" customWidth="1"/>
    <col min="5635" max="5635" width="12.42578125" style="21" customWidth="1"/>
    <col min="5636" max="5636" width="9.140625" style="21"/>
    <col min="5637" max="5637" width="12" style="21" customWidth="1"/>
    <col min="5638" max="5884" width="9.140625" style="21"/>
    <col min="5885" max="5885" width="31.7109375" style="21" customWidth="1"/>
    <col min="5886" max="5887" width="0" style="21" hidden="1" customWidth="1"/>
    <col min="5888" max="5888" width="21.42578125" style="21" customWidth="1"/>
    <col min="5889" max="5889" width="15.7109375" style="21" customWidth="1"/>
    <col min="5890" max="5890" width="11.28515625" style="21" customWidth="1"/>
    <col min="5891" max="5891" width="12.42578125" style="21" customWidth="1"/>
    <col min="5892" max="5892" width="9.140625" style="21"/>
    <col min="5893" max="5893" width="12" style="21" customWidth="1"/>
    <col min="5894" max="6140" width="9.140625" style="21"/>
    <col min="6141" max="6141" width="31.7109375" style="21" customWidth="1"/>
    <col min="6142" max="6143" width="0" style="21" hidden="1" customWidth="1"/>
    <col min="6144" max="6144" width="21.42578125" style="21" customWidth="1"/>
    <col min="6145" max="6145" width="15.7109375" style="21" customWidth="1"/>
    <col min="6146" max="6146" width="11.28515625" style="21" customWidth="1"/>
    <col min="6147" max="6147" width="12.42578125" style="21" customWidth="1"/>
    <col min="6148" max="6148" width="9.140625" style="21"/>
    <col min="6149" max="6149" width="12" style="21" customWidth="1"/>
    <col min="6150" max="6396" width="9.140625" style="21"/>
    <col min="6397" max="6397" width="31.7109375" style="21" customWidth="1"/>
    <col min="6398" max="6399" width="0" style="21" hidden="1" customWidth="1"/>
    <col min="6400" max="6400" width="21.42578125" style="21" customWidth="1"/>
    <col min="6401" max="6401" width="15.7109375" style="21" customWidth="1"/>
    <col min="6402" max="6402" width="11.28515625" style="21" customWidth="1"/>
    <col min="6403" max="6403" width="12.42578125" style="21" customWidth="1"/>
    <col min="6404" max="6404" width="9.140625" style="21"/>
    <col min="6405" max="6405" width="12" style="21" customWidth="1"/>
    <col min="6406" max="6652" width="9.140625" style="21"/>
    <col min="6653" max="6653" width="31.7109375" style="21" customWidth="1"/>
    <col min="6654" max="6655" width="0" style="21" hidden="1" customWidth="1"/>
    <col min="6656" max="6656" width="21.42578125" style="21" customWidth="1"/>
    <col min="6657" max="6657" width="15.7109375" style="21" customWidth="1"/>
    <col min="6658" max="6658" width="11.28515625" style="21" customWidth="1"/>
    <col min="6659" max="6659" width="12.42578125" style="21" customWidth="1"/>
    <col min="6660" max="6660" width="9.140625" style="21"/>
    <col min="6661" max="6661" width="12" style="21" customWidth="1"/>
    <col min="6662" max="6908" width="9.140625" style="21"/>
    <col min="6909" max="6909" width="31.7109375" style="21" customWidth="1"/>
    <col min="6910" max="6911" width="0" style="21" hidden="1" customWidth="1"/>
    <col min="6912" max="6912" width="21.42578125" style="21" customWidth="1"/>
    <col min="6913" max="6913" width="15.7109375" style="21" customWidth="1"/>
    <col min="6914" max="6914" width="11.28515625" style="21" customWidth="1"/>
    <col min="6915" max="6915" width="12.42578125" style="21" customWidth="1"/>
    <col min="6916" max="6916" width="9.140625" style="21"/>
    <col min="6917" max="6917" width="12" style="21" customWidth="1"/>
    <col min="6918" max="7164" width="9.140625" style="21"/>
    <col min="7165" max="7165" width="31.7109375" style="21" customWidth="1"/>
    <col min="7166" max="7167" width="0" style="21" hidden="1" customWidth="1"/>
    <col min="7168" max="7168" width="21.42578125" style="21" customWidth="1"/>
    <col min="7169" max="7169" width="15.7109375" style="21" customWidth="1"/>
    <col min="7170" max="7170" width="11.28515625" style="21" customWidth="1"/>
    <col min="7171" max="7171" width="12.42578125" style="21" customWidth="1"/>
    <col min="7172" max="7172" width="9.140625" style="21"/>
    <col min="7173" max="7173" width="12" style="21" customWidth="1"/>
    <col min="7174" max="7420" width="9.140625" style="21"/>
    <col min="7421" max="7421" width="31.7109375" style="21" customWidth="1"/>
    <col min="7422" max="7423" width="0" style="21" hidden="1" customWidth="1"/>
    <col min="7424" max="7424" width="21.42578125" style="21" customWidth="1"/>
    <col min="7425" max="7425" width="15.7109375" style="21" customWidth="1"/>
    <col min="7426" max="7426" width="11.28515625" style="21" customWidth="1"/>
    <col min="7427" max="7427" width="12.42578125" style="21" customWidth="1"/>
    <col min="7428" max="7428" width="9.140625" style="21"/>
    <col min="7429" max="7429" width="12" style="21" customWidth="1"/>
    <col min="7430" max="7676" width="9.140625" style="21"/>
    <col min="7677" max="7677" width="31.7109375" style="21" customWidth="1"/>
    <col min="7678" max="7679" width="0" style="21" hidden="1" customWidth="1"/>
    <col min="7680" max="7680" width="21.42578125" style="21" customWidth="1"/>
    <col min="7681" max="7681" width="15.7109375" style="21" customWidth="1"/>
    <col min="7682" max="7682" width="11.28515625" style="21" customWidth="1"/>
    <col min="7683" max="7683" width="12.42578125" style="21" customWidth="1"/>
    <col min="7684" max="7684" width="9.140625" style="21"/>
    <col min="7685" max="7685" width="12" style="21" customWidth="1"/>
    <col min="7686" max="7932" width="9.140625" style="21"/>
    <col min="7933" max="7933" width="31.7109375" style="21" customWidth="1"/>
    <col min="7934" max="7935" width="0" style="21" hidden="1" customWidth="1"/>
    <col min="7936" max="7936" width="21.42578125" style="21" customWidth="1"/>
    <col min="7937" max="7937" width="15.7109375" style="21" customWidth="1"/>
    <col min="7938" max="7938" width="11.28515625" style="21" customWidth="1"/>
    <col min="7939" max="7939" width="12.42578125" style="21" customWidth="1"/>
    <col min="7940" max="7940" width="9.140625" style="21"/>
    <col min="7941" max="7941" width="12" style="21" customWidth="1"/>
    <col min="7942" max="8188" width="9.140625" style="21"/>
    <col min="8189" max="8189" width="31.7109375" style="21" customWidth="1"/>
    <col min="8190" max="8191" width="0" style="21" hidden="1" customWidth="1"/>
    <col min="8192" max="8192" width="21.42578125" style="21" customWidth="1"/>
    <col min="8193" max="8193" width="15.7109375" style="21" customWidth="1"/>
    <col min="8194" max="8194" width="11.28515625" style="21" customWidth="1"/>
    <col min="8195" max="8195" width="12.42578125" style="21" customWidth="1"/>
    <col min="8196" max="8196" width="9.140625" style="21"/>
    <col min="8197" max="8197" width="12" style="21" customWidth="1"/>
    <col min="8198" max="8444" width="9.140625" style="21"/>
    <col min="8445" max="8445" width="31.7109375" style="21" customWidth="1"/>
    <col min="8446" max="8447" width="0" style="21" hidden="1" customWidth="1"/>
    <col min="8448" max="8448" width="21.42578125" style="21" customWidth="1"/>
    <col min="8449" max="8449" width="15.7109375" style="21" customWidth="1"/>
    <col min="8450" max="8450" width="11.28515625" style="21" customWidth="1"/>
    <col min="8451" max="8451" width="12.42578125" style="21" customWidth="1"/>
    <col min="8452" max="8452" width="9.140625" style="21"/>
    <col min="8453" max="8453" width="12" style="21" customWidth="1"/>
    <col min="8454" max="8700" width="9.140625" style="21"/>
    <col min="8701" max="8701" width="31.7109375" style="21" customWidth="1"/>
    <col min="8702" max="8703" width="0" style="21" hidden="1" customWidth="1"/>
    <col min="8704" max="8704" width="21.42578125" style="21" customWidth="1"/>
    <col min="8705" max="8705" width="15.7109375" style="21" customWidth="1"/>
    <col min="8706" max="8706" width="11.28515625" style="21" customWidth="1"/>
    <col min="8707" max="8707" width="12.42578125" style="21" customWidth="1"/>
    <col min="8708" max="8708" width="9.140625" style="21"/>
    <col min="8709" max="8709" width="12" style="21" customWidth="1"/>
    <col min="8710" max="8956" width="9.140625" style="21"/>
    <col min="8957" max="8957" width="31.7109375" style="21" customWidth="1"/>
    <col min="8958" max="8959" width="0" style="21" hidden="1" customWidth="1"/>
    <col min="8960" max="8960" width="21.42578125" style="21" customWidth="1"/>
    <col min="8961" max="8961" width="15.7109375" style="21" customWidth="1"/>
    <col min="8962" max="8962" width="11.28515625" style="21" customWidth="1"/>
    <col min="8963" max="8963" width="12.42578125" style="21" customWidth="1"/>
    <col min="8964" max="8964" width="9.140625" style="21"/>
    <col min="8965" max="8965" width="12" style="21" customWidth="1"/>
    <col min="8966" max="9212" width="9.140625" style="21"/>
    <col min="9213" max="9213" width="31.7109375" style="21" customWidth="1"/>
    <col min="9214" max="9215" width="0" style="21" hidden="1" customWidth="1"/>
    <col min="9216" max="9216" width="21.42578125" style="21" customWidth="1"/>
    <col min="9217" max="9217" width="15.7109375" style="21" customWidth="1"/>
    <col min="9218" max="9218" width="11.28515625" style="21" customWidth="1"/>
    <col min="9219" max="9219" width="12.42578125" style="21" customWidth="1"/>
    <col min="9220" max="9220" width="9.140625" style="21"/>
    <col min="9221" max="9221" width="12" style="21" customWidth="1"/>
    <col min="9222" max="9468" width="9.140625" style="21"/>
    <col min="9469" max="9469" width="31.7109375" style="21" customWidth="1"/>
    <col min="9470" max="9471" width="0" style="21" hidden="1" customWidth="1"/>
    <col min="9472" max="9472" width="21.42578125" style="21" customWidth="1"/>
    <col min="9473" max="9473" width="15.7109375" style="21" customWidth="1"/>
    <col min="9474" max="9474" width="11.28515625" style="21" customWidth="1"/>
    <col min="9475" max="9475" width="12.42578125" style="21" customWidth="1"/>
    <col min="9476" max="9476" width="9.140625" style="21"/>
    <col min="9477" max="9477" width="12" style="21" customWidth="1"/>
    <col min="9478" max="9724" width="9.140625" style="21"/>
    <col min="9725" max="9725" width="31.7109375" style="21" customWidth="1"/>
    <col min="9726" max="9727" width="0" style="21" hidden="1" customWidth="1"/>
    <col min="9728" max="9728" width="21.42578125" style="21" customWidth="1"/>
    <col min="9729" max="9729" width="15.7109375" style="21" customWidth="1"/>
    <col min="9730" max="9730" width="11.28515625" style="21" customWidth="1"/>
    <col min="9731" max="9731" width="12.42578125" style="21" customWidth="1"/>
    <col min="9732" max="9732" width="9.140625" style="21"/>
    <col min="9733" max="9733" width="12" style="21" customWidth="1"/>
    <col min="9734" max="9980" width="9.140625" style="21"/>
    <col min="9981" max="9981" width="31.7109375" style="21" customWidth="1"/>
    <col min="9982" max="9983" width="0" style="21" hidden="1" customWidth="1"/>
    <col min="9984" max="9984" width="21.42578125" style="21" customWidth="1"/>
    <col min="9985" max="9985" width="15.7109375" style="21" customWidth="1"/>
    <col min="9986" max="9986" width="11.28515625" style="21" customWidth="1"/>
    <col min="9987" max="9987" width="12.42578125" style="21" customWidth="1"/>
    <col min="9988" max="9988" width="9.140625" style="21"/>
    <col min="9989" max="9989" width="12" style="21" customWidth="1"/>
    <col min="9990" max="10236" width="9.140625" style="21"/>
    <col min="10237" max="10237" width="31.7109375" style="21" customWidth="1"/>
    <col min="10238" max="10239" width="0" style="21" hidden="1" customWidth="1"/>
    <col min="10240" max="10240" width="21.42578125" style="21" customWidth="1"/>
    <col min="10241" max="10241" width="15.7109375" style="21" customWidth="1"/>
    <col min="10242" max="10242" width="11.28515625" style="21" customWidth="1"/>
    <col min="10243" max="10243" width="12.42578125" style="21" customWidth="1"/>
    <col min="10244" max="10244" width="9.140625" style="21"/>
    <col min="10245" max="10245" width="12" style="21" customWidth="1"/>
    <col min="10246" max="10492" width="9.140625" style="21"/>
    <col min="10493" max="10493" width="31.7109375" style="21" customWidth="1"/>
    <col min="10494" max="10495" width="0" style="21" hidden="1" customWidth="1"/>
    <col min="10496" max="10496" width="21.42578125" style="21" customWidth="1"/>
    <col min="10497" max="10497" width="15.7109375" style="21" customWidth="1"/>
    <col min="10498" max="10498" width="11.28515625" style="21" customWidth="1"/>
    <col min="10499" max="10499" width="12.42578125" style="21" customWidth="1"/>
    <col min="10500" max="10500" width="9.140625" style="21"/>
    <col min="10501" max="10501" width="12" style="21" customWidth="1"/>
    <col min="10502" max="10748" width="9.140625" style="21"/>
    <col min="10749" max="10749" width="31.7109375" style="21" customWidth="1"/>
    <col min="10750" max="10751" width="0" style="21" hidden="1" customWidth="1"/>
    <col min="10752" max="10752" width="21.42578125" style="21" customWidth="1"/>
    <col min="10753" max="10753" width="15.7109375" style="21" customWidth="1"/>
    <col min="10754" max="10754" width="11.28515625" style="21" customWidth="1"/>
    <col min="10755" max="10755" width="12.42578125" style="21" customWidth="1"/>
    <col min="10756" max="10756" width="9.140625" style="21"/>
    <col min="10757" max="10757" width="12" style="21" customWidth="1"/>
    <col min="10758" max="11004" width="9.140625" style="21"/>
    <col min="11005" max="11005" width="31.7109375" style="21" customWidth="1"/>
    <col min="11006" max="11007" width="0" style="21" hidden="1" customWidth="1"/>
    <col min="11008" max="11008" width="21.42578125" style="21" customWidth="1"/>
    <col min="11009" max="11009" width="15.7109375" style="21" customWidth="1"/>
    <col min="11010" max="11010" width="11.28515625" style="21" customWidth="1"/>
    <col min="11011" max="11011" width="12.42578125" style="21" customWidth="1"/>
    <col min="11012" max="11012" width="9.140625" style="21"/>
    <col min="11013" max="11013" width="12" style="21" customWidth="1"/>
    <col min="11014" max="11260" width="9.140625" style="21"/>
    <col min="11261" max="11261" width="31.7109375" style="21" customWidth="1"/>
    <col min="11262" max="11263" width="0" style="21" hidden="1" customWidth="1"/>
    <col min="11264" max="11264" width="21.42578125" style="21" customWidth="1"/>
    <col min="11265" max="11265" width="15.7109375" style="21" customWidth="1"/>
    <col min="11266" max="11266" width="11.28515625" style="21" customWidth="1"/>
    <col min="11267" max="11267" width="12.42578125" style="21" customWidth="1"/>
    <col min="11268" max="11268" width="9.140625" style="21"/>
    <col min="11269" max="11269" width="12" style="21" customWidth="1"/>
    <col min="11270" max="11516" width="9.140625" style="21"/>
    <col min="11517" max="11517" width="31.7109375" style="21" customWidth="1"/>
    <col min="11518" max="11519" width="0" style="21" hidden="1" customWidth="1"/>
    <col min="11520" max="11520" width="21.42578125" style="21" customWidth="1"/>
    <col min="11521" max="11521" width="15.7109375" style="21" customWidth="1"/>
    <col min="11522" max="11522" width="11.28515625" style="21" customWidth="1"/>
    <col min="11523" max="11523" width="12.42578125" style="21" customWidth="1"/>
    <col min="11524" max="11524" width="9.140625" style="21"/>
    <col min="11525" max="11525" width="12" style="21" customWidth="1"/>
    <col min="11526" max="11772" width="9.140625" style="21"/>
    <col min="11773" max="11773" width="31.7109375" style="21" customWidth="1"/>
    <col min="11774" max="11775" width="0" style="21" hidden="1" customWidth="1"/>
    <col min="11776" max="11776" width="21.42578125" style="21" customWidth="1"/>
    <col min="11777" max="11777" width="15.7109375" style="21" customWidth="1"/>
    <col min="11778" max="11778" width="11.28515625" style="21" customWidth="1"/>
    <col min="11779" max="11779" width="12.42578125" style="21" customWidth="1"/>
    <col min="11780" max="11780" width="9.140625" style="21"/>
    <col min="11781" max="11781" width="12" style="21" customWidth="1"/>
    <col min="11782" max="12028" width="9.140625" style="21"/>
    <col min="12029" max="12029" width="31.7109375" style="21" customWidth="1"/>
    <col min="12030" max="12031" width="0" style="21" hidden="1" customWidth="1"/>
    <col min="12032" max="12032" width="21.42578125" style="21" customWidth="1"/>
    <col min="12033" max="12033" width="15.7109375" style="21" customWidth="1"/>
    <col min="12034" max="12034" width="11.28515625" style="21" customWidth="1"/>
    <col min="12035" max="12035" width="12.42578125" style="21" customWidth="1"/>
    <col min="12036" max="12036" width="9.140625" style="21"/>
    <col min="12037" max="12037" width="12" style="21" customWidth="1"/>
    <col min="12038" max="12284" width="9.140625" style="21"/>
    <col min="12285" max="12285" width="31.7109375" style="21" customWidth="1"/>
    <col min="12286" max="12287" width="0" style="21" hidden="1" customWidth="1"/>
    <col min="12288" max="12288" width="21.42578125" style="21" customWidth="1"/>
    <col min="12289" max="12289" width="15.7109375" style="21" customWidth="1"/>
    <col min="12290" max="12290" width="11.28515625" style="21" customWidth="1"/>
    <col min="12291" max="12291" width="12.42578125" style="21" customWidth="1"/>
    <col min="12292" max="12292" width="9.140625" style="21"/>
    <col min="12293" max="12293" width="12" style="21" customWidth="1"/>
    <col min="12294" max="12540" width="9.140625" style="21"/>
    <col min="12541" max="12541" width="31.7109375" style="21" customWidth="1"/>
    <col min="12542" max="12543" width="0" style="21" hidden="1" customWidth="1"/>
    <col min="12544" max="12544" width="21.42578125" style="21" customWidth="1"/>
    <col min="12545" max="12545" width="15.7109375" style="21" customWidth="1"/>
    <col min="12546" max="12546" width="11.28515625" style="21" customWidth="1"/>
    <col min="12547" max="12547" width="12.42578125" style="21" customWidth="1"/>
    <col min="12548" max="12548" width="9.140625" style="21"/>
    <col min="12549" max="12549" width="12" style="21" customWidth="1"/>
    <col min="12550" max="12796" width="9.140625" style="21"/>
    <col min="12797" max="12797" width="31.7109375" style="21" customWidth="1"/>
    <col min="12798" max="12799" width="0" style="21" hidden="1" customWidth="1"/>
    <col min="12800" max="12800" width="21.42578125" style="21" customWidth="1"/>
    <col min="12801" max="12801" width="15.7109375" style="21" customWidth="1"/>
    <col min="12802" max="12802" width="11.28515625" style="21" customWidth="1"/>
    <col min="12803" max="12803" width="12.42578125" style="21" customWidth="1"/>
    <col min="12804" max="12804" width="9.140625" style="21"/>
    <col min="12805" max="12805" width="12" style="21" customWidth="1"/>
    <col min="12806" max="13052" width="9.140625" style="21"/>
    <col min="13053" max="13053" width="31.7109375" style="21" customWidth="1"/>
    <col min="13054" max="13055" width="0" style="21" hidden="1" customWidth="1"/>
    <col min="13056" max="13056" width="21.42578125" style="21" customWidth="1"/>
    <col min="13057" max="13057" width="15.7109375" style="21" customWidth="1"/>
    <col min="13058" max="13058" width="11.28515625" style="21" customWidth="1"/>
    <col min="13059" max="13059" width="12.42578125" style="21" customWidth="1"/>
    <col min="13060" max="13060" width="9.140625" style="21"/>
    <col min="13061" max="13061" width="12" style="21" customWidth="1"/>
    <col min="13062" max="13308" width="9.140625" style="21"/>
    <col min="13309" max="13309" width="31.7109375" style="21" customWidth="1"/>
    <col min="13310" max="13311" width="0" style="21" hidden="1" customWidth="1"/>
    <col min="13312" max="13312" width="21.42578125" style="21" customWidth="1"/>
    <col min="13313" max="13313" width="15.7109375" style="21" customWidth="1"/>
    <col min="13314" max="13314" width="11.28515625" style="21" customWidth="1"/>
    <col min="13315" max="13315" width="12.42578125" style="21" customWidth="1"/>
    <col min="13316" max="13316" width="9.140625" style="21"/>
    <col min="13317" max="13317" width="12" style="21" customWidth="1"/>
    <col min="13318" max="13564" width="9.140625" style="21"/>
    <col min="13565" max="13565" width="31.7109375" style="21" customWidth="1"/>
    <col min="13566" max="13567" width="0" style="21" hidden="1" customWidth="1"/>
    <col min="13568" max="13568" width="21.42578125" style="21" customWidth="1"/>
    <col min="13569" max="13569" width="15.7109375" style="21" customWidth="1"/>
    <col min="13570" max="13570" width="11.28515625" style="21" customWidth="1"/>
    <col min="13571" max="13571" width="12.42578125" style="21" customWidth="1"/>
    <col min="13572" max="13572" width="9.140625" style="21"/>
    <col min="13573" max="13573" width="12" style="21" customWidth="1"/>
    <col min="13574" max="13820" width="9.140625" style="21"/>
    <col min="13821" max="13821" width="31.7109375" style="21" customWidth="1"/>
    <col min="13822" max="13823" width="0" style="21" hidden="1" customWidth="1"/>
    <col min="13824" max="13824" width="21.42578125" style="21" customWidth="1"/>
    <col min="13825" max="13825" width="15.7109375" style="21" customWidth="1"/>
    <col min="13826" max="13826" width="11.28515625" style="21" customWidth="1"/>
    <col min="13827" max="13827" width="12.42578125" style="21" customWidth="1"/>
    <col min="13828" max="13828" width="9.140625" style="21"/>
    <col min="13829" max="13829" width="12" style="21" customWidth="1"/>
    <col min="13830" max="14076" width="9.140625" style="21"/>
    <col min="14077" max="14077" width="31.7109375" style="21" customWidth="1"/>
    <col min="14078" max="14079" width="0" style="21" hidden="1" customWidth="1"/>
    <col min="14080" max="14080" width="21.42578125" style="21" customWidth="1"/>
    <col min="14081" max="14081" width="15.7109375" style="21" customWidth="1"/>
    <col min="14082" max="14082" width="11.28515625" style="21" customWidth="1"/>
    <col min="14083" max="14083" width="12.42578125" style="21" customWidth="1"/>
    <col min="14084" max="14084" width="9.140625" style="21"/>
    <col min="14085" max="14085" width="12" style="21" customWidth="1"/>
    <col min="14086" max="14332" width="9.140625" style="21"/>
    <col min="14333" max="14333" width="31.7109375" style="21" customWidth="1"/>
    <col min="14334" max="14335" width="0" style="21" hidden="1" customWidth="1"/>
    <col min="14336" max="14336" width="21.42578125" style="21" customWidth="1"/>
    <col min="14337" max="14337" width="15.7109375" style="21" customWidth="1"/>
    <col min="14338" max="14338" width="11.28515625" style="21" customWidth="1"/>
    <col min="14339" max="14339" width="12.42578125" style="21" customWidth="1"/>
    <col min="14340" max="14340" width="9.140625" style="21"/>
    <col min="14341" max="14341" width="12" style="21" customWidth="1"/>
    <col min="14342" max="14588" width="9.140625" style="21"/>
    <col min="14589" max="14589" width="31.7109375" style="21" customWidth="1"/>
    <col min="14590" max="14591" width="0" style="21" hidden="1" customWidth="1"/>
    <col min="14592" max="14592" width="21.42578125" style="21" customWidth="1"/>
    <col min="14593" max="14593" width="15.7109375" style="21" customWidth="1"/>
    <col min="14594" max="14594" width="11.28515625" style="21" customWidth="1"/>
    <col min="14595" max="14595" width="12.42578125" style="21" customWidth="1"/>
    <col min="14596" max="14596" width="9.140625" style="21"/>
    <col min="14597" max="14597" width="12" style="21" customWidth="1"/>
    <col min="14598" max="14844" width="9.140625" style="21"/>
    <col min="14845" max="14845" width="31.7109375" style="21" customWidth="1"/>
    <col min="14846" max="14847" width="0" style="21" hidden="1" customWidth="1"/>
    <col min="14848" max="14848" width="21.42578125" style="21" customWidth="1"/>
    <col min="14849" max="14849" width="15.7109375" style="21" customWidth="1"/>
    <col min="14850" max="14850" width="11.28515625" style="21" customWidth="1"/>
    <col min="14851" max="14851" width="12.42578125" style="21" customWidth="1"/>
    <col min="14852" max="14852" width="9.140625" style="21"/>
    <col min="14853" max="14853" width="12" style="21" customWidth="1"/>
    <col min="14854" max="15100" width="9.140625" style="21"/>
    <col min="15101" max="15101" width="31.7109375" style="21" customWidth="1"/>
    <col min="15102" max="15103" width="0" style="21" hidden="1" customWidth="1"/>
    <col min="15104" max="15104" width="21.42578125" style="21" customWidth="1"/>
    <col min="15105" max="15105" width="15.7109375" style="21" customWidth="1"/>
    <col min="15106" max="15106" width="11.28515625" style="21" customWidth="1"/>
    <col min="15107" max="15107" width="12.42578125" style="21" customWidth="1"/>
    <col min="15108" max="15108" width="9.140625" style="21"/>
    <col min="15109" max="15109" width="12" style="21" customWidth="1"/>
    <col min="15110" max="15356" width="9.140625" style="21"/>
    <col min="15357" max="15357" width="31.7109375" style="21" customWidth="1"/>
    <col min="15358" max="15359" width="0" style="21" hidden="1" customWidth="1"/>
    <col min="15360" max="15360" width="21.42578125" style="21" customWidth="1"/>
    <col min="15361" max="15361" width="15.7109375" style="21" customWidth="1"/>
    <col min="15362" max="15362" width="11.28515625" style="21" customWidth="1"/>
    <col min="15363" max="15363" width="12.42578125" style="21" customWidth="1"/>
    <col min="15364" max="15364" width="9.140625" style="21"/>
    <col min="15365" max="15365" width="12" style="21" customWidth="1"/>
    <col min="15366" max="15612" width="9.140625" style="21"/>
    <col min="15613" max="15613" width="31.7109375" style="21" customWidth="1"/>
    <col min="15614" max="15615" width="0" style="21" hidden="1" customWidth="1"/>
    <col min="15616" max="15616" width="21.42578125" style="21" customWidth="1"/>
    <col min="15617" max="15617" width="15.7109375" style="21" customWidth="1"/>
    <col min="15618" max="15618" width="11.28515625" style="21" customWidth="1"/>
    <col min="15619" max="15619" width="12.42578125" style="21" customWidth="1"/>
    <col min="15620" max="15620" width="9.140625" style="21"/>
    <col min="15621" max="15621" width="12" style="21" customWidth="1"/>
    <col min="15622" max="15868" width="9.140625" style="21"/>
    <col min="15869" max="15869" width="31.7109375" style="21" customWidth="1"/>
    <col min="15870" max="15871" width="0" style="21" hidden="1" customWidth="1"/>
    <col min="15872" max="15872" width="21.42578125" style="21" customWidth="1"/>
    <col min="15873" max="15873" width="15.7109375" style="21" customWidth="1"/>
    <col min="15874" max="15874" width="11.28515625" style="21" customWidth="1"/>
    <col min="15875" max="15875" width="12.42578125" style="21" customWidth="1"/>
    <col min="15876" max="15876" width="9.140625" style="21"/>
    <col min="15877" max="15877" width="12" style="21" customWidth="1"/>
    <col min="15878" max="16124" width="9.140625" style="21"/>
    <col min="16125" max="16125" width="31.7109375" style="21" customWidth="1"/>
    <col min="16126" max="16127" width="0" style="21" hidden="1" customWidth="1"/>
    <col min="16128" max="16128" width="21.42578125" style="21" customWidth="1"/>
    <col min="16129" max="16129" width="15.7109375" style="21" customWidth="1"/>
    <col min="16130" max="16130" width="11.28515625" style="21" customWidth="1"/>
    <col min="16131" max="16131" width="12.42578125" style="21" customWidth="1"/>
    <col min="16132" max="16132" width="9.140625" style="21"/>
    <col min="16133" max="16133" width="12" style="21" customWidth="1"/>
    <col min="16134" max="16379" width="9.140625" style="21"/>
    <col min="16380" max="16384" width="9.140625" style="21" customWidth="1"/>
  </cols>
  <sheetData>
    <row r="1" spans="1:45" s="18" customFormat="1" ht="60.75" customHeight="1" thickBot="1" x14ac:dyDescent="0.3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</row>
    <row r="2" spans="1:45" s="18" customFormat="1" ht="16.5" thickBot="1" x14ac:dyDescent="0.3">
      <c r="A2" s="228" t="s">
        <v>52</v>
      </c>
      <c r="B2" s="229" t="s">
        <v>423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1:45" s="18" customFormat="1" ht="15.75" x14ac:dyDescent="0.25">
      <c r="A3" s="199" t="s">
        <v>53</v>
      </c>
      <c r="B3" s="227" t="s">
        <v>429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 spans="1:45" s="18" customFormat="1" ht="15.75" x14ac:dyDescent="0.25">
      <c r="A4" s="195" t="s">
        <v>391</v>
      </c>
      <c r="B4" s="222" t="s">
        <v>428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1:45" s="18" customFormat="1" ht="15.75" x14ac:dyDescent="0.25">
      <c r="A5" s="195" t="s">
        <v>392</v>
      </c>
      <c r="B5" s="223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</row>
    <row r="6" spans="1:45" s="18" customFormat="1" ht="15.75" x14ac:dyDescent="0.25">
      <c r="A6" s="196" t="s">
        <v>16</v>
      </c>
      <c r="B6" s="224" t="s">
        <v>426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spans="1:45" s="18" customFormat="1" ht="15.75" x14ac:dyDescent="0.25">
      <c r="A7" s="196" t="s">
        <v>393</v>
      </c>
      <c r="B7" s="224" t="s">
        <v>427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</row>
    <row r="8" spans="1:45" s="18" customFormat="1" ht="15.75" x14ac:dyDescent="0.25">
      <c r="A8" s="196" t="s">
        <v>54</v>
      </c>
      <c r="B8" s="225">
        <v>45415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spans="1:45" s="18" customFormat="1" ht="15.75" x14ac:dyDescent="0.25">
      <c r="A9" s="195" t="s">
        <v>55</v>
      </c>
      <c r="B9" s="224" t="s">
        <v>439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</row>
    <row r="10" spans="1:45" s="18" customFormat="1" ht="15.75" x14ac:dyDescent="0.25">
      <c r="A10" s="196" t="s">
        <v>56</v>
      </c>
      <c r="B10" s="226" t="s">
        <v>443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 s="18" customFormat="1" ht="15.75" x14ac:dyDescent="0.25">
      <c r="A11" s="196" t="s">
        <v>57</v>
      </c>
      <c r="B11" s="224">
        <v>40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 s="18" customForma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</row>
    <row r="13" spans="1:45" s="18" customForma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</row>
    <row r="14" spans="1:45" s="18" customFormat="1" x14ac:dyDescent="0.25">
      <c r="A14" s="197" t="s">
        <v>394</v>
      </c>
      <c r="B14" s="8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</row>
    <row r="15" spans="1:45" s="18" customFormat="1" x14ac:dyDescent="0.25">
      <c r="A15" s="218" t="s">
        <v>425</v>
      </c>
      <c r="B15" s="19">
        <f>МЕНЮ!F21</f>
        <v>10638</v>
      </c>
      <c r="C15" s="158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5" s="18" customFormat="1" x14ac:dyDescent="0.25">
      <c r="A16" s="197" t="s">
        <v>58</v>
      </c>
      <c r="B16" s="37"/>
      <c r="C16" s="158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250" s="18" customFormat="1" x14ac:dyDescent="0.25">
      <c r="A17" s="219" t="s">
        <v>58</v>
      </c>
      <c r="B17" s="19">
        <f>ОБЛАДНАННЯ!G331</f>
        <v>1378</v>
      </c>
      <c r="C17" s="158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</row>
    <row r="18" spans="1:250" s="18" customFormat="1" x14ac:dyDescent="0.25">
      <c r="A18" s="218" t="s">
        <v>440</v>
      </c>
      <c r="B18" s="19">
        <f>МЕНЮ!F30</f>
        <v>1750</v>
      </c>
      <c r="C18" s="158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</row>
    <row r="19" spans="1:250" s="18" customFormat="1" x14ac:dyDescent="0.25">
      <c r="A19" s="197" t="s">
        <v>404</v>
      </c>
      <c r="B19" s="37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</row>
    <row r="20" spans="1:250" s="18" customFormat="1" x14ac:dyDescent="0.25">
      <c r="A20" s="220" t="s">
        <v>62</v>
      </c>
      <c r="B20" s="19">
        <v>1000</v>
      </c>
      <c r="C20" s="21" t="s">
        <v>74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</row>
    <row r="21" spans="1:250" s="18" customFormat="1" x14ac:dyDescent="0.25">
      <c r="A21" s="220" t="s">
        <v>63</v>
      </c>
      <c r="B21" s="19">
        <v>1800</v>
      </c>
      <c r="C21" s="21" t="s">
        <v>436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</row>
    <row r="22" spans="1:250" s="18" customFormat="1" x14ac:dyDescent="0.25">
      <c r="A22" s="220" t="s">
        <v>64</v>
      </c>
      <c r="B22" s="19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</row>
    <row r="23" spans="1:250" s="18" customFormat="1" x14ac:dyDescent="0.25">
      <c r="A23" s="220" t="s">
        <v>17</v>
      </c>
      <c r="B23" s="19">
        <v>2000</v>
      </c>
      <c r="C23" s="21" t="s">
        <v>437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</row>
    <row r="24" spans="1:250" s="18" customFormat="1" x14ac:dyDescent="0.25">
      <c r="A24" s="197" t="s">
        <v>59</v>
      </c>
      <c r="B24" s="3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</row>
    <row r="25" spans="1:250" s="18" customFormat="1" x14ac:dyDescent="0.25">
      <c r="A25" s="221" t="s">
        <v>400</v>
      </c>
      <c r="B25" s="19">
        <v>2500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</row>
    <row r="26" spans="1:250" s="18" customFormat="1" x14ac:dyDescent="0.25">
      <c r="A26" s="197" t="s">
        <v>60</v>
      </c>
      <c r="B26" s="37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</row>
    <row r="27" spans="1:250" ht="18.75" x14ac:dyDescent="0.3">
      <c r="A27" s="198" t="s">
        <v>61</v>
      </c>
      <c r="B27" s="22">
        <f>SUM(B15:B26)</f>
        <v>21066</v>
      </c>
    </row>
    <row r="28" spans="1:250" ht="15.75" x14ac:dyDescent="0.25">
      <c r="B28" s="23"/>
    </row>
    <row r="29" spans="1:250" ht="15.75" x14ac:dyDescent="0.25">
      <c r="A29" s="216" t="s">
        <v>395</v>
      </c>
      <c r="B29" s="24">
        <f>SUM(B15:B25)</f>
        <v>21066</v>
      </c>
    </row>
    <row r="31" spans="1:250" ht="15.75" x14ac:dyDescent="0.25">
      <c r="A31" s="163" t="s">
        <v>410</v>
      </c>
      <c r="B31" s="164">
        <f>B27*6%</f>
        <v>1263.96</v>
      </c>
    </row>
    <row r="33" spans="1:2" ht="18.75" x14ac:dyDescent="0.3">
      <c r="A33" s="217" t="s">
        <v>411</v>
      </c>
      <c r="B33" s="166">
        <f>B27+B31</f>
        <v>22329.96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МЕНЮ</vt:lpstr>
      <vt:lpstr>ОБЛАДНАННЯ</vt:lpstr>
      <vt:lpstr>КОМЕРЦІЙНА ПРОПОЗИЦІЯ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2024-06-27T18:58:14Z</dcterms:modified>
</cp:coreProperties>
</file>